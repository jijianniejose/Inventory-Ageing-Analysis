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ijia\Downloads\"/>
    </mc:Choice>
  </mc:AlternateContent>
  <xr:revisionPtr revIDLastSave="0" documentId="13_ncr:1_{F575D0C2-A210-4E8E-8579-DFEA9B14172D}" xr6:coauthVersionLast="47" xr6:coauthVersionMax="47" xr10:uidLastSave="{00000000-0000-0000-0000-000000000000}"/>
  <bookViews>
    <workbookView xWindow="-108" yWindow="-108" windowWidth="29016" windowHeight="18696" xr2:uid="{00000000-000D-0000-FFFF-FFFF00000000}"/>
  </bookViews>
  <sheets>
    <sheet name="Inventory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1" i="1" l="1"/>
  <c r="M101" i="1"/>
  <c r="N101" i="1" s="1"/>
  <c r="O100" i="1"/>
  <c r="M100" i="1"/>
  <c r="N100" i="1" s="1"/>
  <c r="O99" i="1"/>
  <c r="M99" i="1"/>
  <c r="N99" i="1" s="1"/>
  <c r="O98" i="1"/>
  <c r="M98" i="1"/>
  <c r="N98" i="1" s="1"/>
  <c r="O97" i="1"/>
  <c r="M97" i="1"/>
  <c r="N97" i="1" s="1"/>
  <c r="O96" i="1"/>
  <c r="M96" i="1"/>
  <c r="N96" i="1" s="1"/>
  <c r="P95" i="1"/>
  <c r="O95" i="1"/>
  <c r="M95" i="1"/>
  <c r="N95" i="1" s="1"/>
  <c r="O94" i="1"/>
  <c r="M94" i="1"/>
  <c r="N94" i="1" s="1"/>
  <c r="P93" i="1"/>
  <c r="O93" i="1"/>
  <c r="M93" i="1"/>
  <c r="N93" i="1" s="1"/>
  <c r="O92" i="1"/>
  <c r="M92" i="1"/>
  <c r="N92" i="1" s="1"/>
  <c r="O91" i="1"/>
  <c r="M91" i="1"/>
  <c r="N91" i="1" s="1"/>
  <c r="O90" i="1"/>
  <c r="M90" i="1"/>
  <c r="N90" i="1" s="1"/>
  <c r="O89" i="1"/>
  <c r="M89" i="1"/>
  <c r="N89" i="1" s="1"/>
  <c r="P88" i="1"/>
  <c r="O88" i="1"/>
  <c r="M88" i="1"/>
  <c r="N88" i="1" s="1"/>
  <c r="O87" i="1"/>
  <c r="M87" i="1"/>
  <c r="N87" i="1" s="1"/>
  <c r="O86" i="1"/>
  <c r="M86" i="1"/>
  <c r="N86" i="1" s="1"/>
  <c r="O85" i="1"/>
  <c r="M85" i="1"/>
  <c r="N85" i="1" s="1"/>
  <c r="O84" i="1"/>
  <c r="M84" i="1"/>
  <c r="N84" i="1" s="1"/>
  <c r="O83" i="1"/>
  <c r="M83" i="1"/>
  <c r="N83" i="1" s="1"/>
  <c r="P82" i="1"/>
  <c r="O82" i="1"/>
  <c r="M82" i="1"/>
  <c r="N82" i="1" s="1"/>
  <c r="O81" i="1"/>
  <c r="M81" i="1"/>
  <c r="N81" i="1" s="1"/>
  <c r="P80" i="1"/>
  <c r="O80" i="1"/>
  <c r="M80" i="1"/>
  <c r="N80" i="1" s="1"/>
  <c r="O79" i="1"/>
  <c r="M79" i="1"/>
  <c r="N79" i="1" s="1"/>
  <c r="O78" i="1"/>
  <c r="M78" i="1"/>
  <c r="N78" i="1" s="1"/>
  <c r="P77" i="1"/>
  <c r="O77" i="1"/>
  <c r="M77" i="1"/>
  <c r="N77" i="1" s="1"/>
  <c r="O76" i="1"/>
  <c r="M76" i="1"/>
  <c r="N76" i="1" s="1"/>
  <c r="O75" i="1"/>
  <c r="M75" i="1"/>
  <c r="N75" i="1" s="1"/>
  <c r="O74" i="1"/>
  <c r="M74" i="1"/>
  <c r="N74" i="1" s="1"/>
  <c r="O73" i="1"/>
  <c r="M73" i="1"/>
  <c r="N73" i="1" s="1"/>
  <c r="O72" i="1"/>
  <c r="M72" i="1"/>
  <c r="N72" i="1" s="1"/>
  <c r="O71" i="1"/>
  <c r="M71" i="1"/>
  <c r="N71" i="1" s="1"/>
  <c r="O70" i="1"/>
  <c r="M70" i="1"/>
  <c r="N70" i="1" s="1"/>
  <c r="O69" i="1"/>
  <c r="M69" i="1"/>
  <c r="N69" i="1" s="1"/>
  <c r="O68" i="1"/>
  <c r="M68" i="1"/>
  <c r="N68" i="1" s="1"/>
  <c r="O67" i="1"/>
  <c r="M67" i="1"/>
  <c r="N67" i="1" s="1"/>
  <c r="O66" i="1"/>
  <c r="M66" i="1"/>
  <c r="N66" i="1" s="1"/>
  <c r="O65" i="1"/>
  <c r="M65" i="1"/>
  <c r="N65" i="1" s="1"/>
  <c r="P64" i="1"/>
  <c r="O64" i="1"/>
  <c r="M64" i="1"/>
  <c r="N64" i="1" s="1"/>
  <c r="O63" i="1"/>
  <c r="M63" i="1"/>
  <c r="N63" i="1" s="1"/>
  <c r="P62" i="1"/>
  <c r="O62" i="1"/>
  <c r="M62" i="1"/>
  <c r="N62" i="1" s="1"/>
  <c r="O61" i="1"/>
  <c r="M61" i="1"/>
  <c r="N61" i="1" s="1"/>
  <c r="P60" i="1"/>
  <c r="O60" i="1"/>
  <c r="M60" i="1"/>
  <c r="N60" i="1" s="1"/>
  <c r="O59" i="1"/>
  <c r="M59" i="1"/>
  <c r="N59" i="1" s="1"/>
  <c r="O58" i="1"/>
  <c r="M58" i="1"/>
  <c r="N58" i="1" s="1"/>
  <c r="O57" i="1"/>
  <c r="M57" i="1"/>
  <c r="N57" i="1" s="1"/>
  <c r="O56" i="1"/>
  <c r="M56" i="1"/>
  <c r="N56" i="1" s="1"/>
  <c r="O55" i="1"/>
  <c r="M55" i="1"/>
  <c r="N55" i="1" s="1"/>
  <c r="P54" i="1"/>
  <c r="O54" i="1"/>
  <c r="M54" i="1"/>
  <c r="N54" i="1" s="1"/>
  <c r="O53" i="1"/>
  <c r="M53" i="1"/>
  <c r="N53" i="1" s="1"/>
  <c r="O52" i="1"/>
  <c r="M52" i="1"/>
  <c r="N52" i="1" s="1"/>
  <c r="P51" i="1"/>
  <c r="O51" i="1"/>
  <c r="M51" i="1"/>
  <c r="N51" i="1" s="1"/>
  <c r="O50" i="1"/>
  <c r="M50" i="1"/>
  <c r="N50" i="1" s="1"/>
  <c r="O49" i="1"/>
  <c r="M49" i="1"/>
  <c r="N49" i="1" s="1"/>
  <c r="O48" i="1"/>
  <c r="M48" i="1"/>
  <c r="N48" i="1" s="1"/>
  <c r="O47" i="1"/>
  <c r="M47" i="1"/>
  <c r="N47" i="1" s="1"/>
  <c r="O46" i="1"/>
  <c r="M46" i="1"/>
  <c r="N46" i="1" s="1"/>
  <c r="O45" i="1"/>
  <c r="M45" i="1"/>
  <c r="N45" i="1" s="1"/>
  <c r="O44" i="1"/>
  <c r="M44" i="1"/>
  <c r="N44" i="1" s="1"/>
  <c r="O43" i="1"/>
  <c r="M43" i="1"/>
  <c r="N43" i="1" s="1"/>
  <c r="O42" i="1"/>
  <c r="M42" i="1"/>
  <c r="N42" i="1" s="1"/>
  <c r="O41" i="1"/>
  <c r="M41" i="1"/>
  <c r="N41" i="1" s="1"/>
  <c r="O40" i="1"/>
  <c r="M40" i="1"/>
  <c r="N40" i="1" s="1"/>
  <c r="O39" i="1"/>
  <c r="M39" i="1"/>
  <c r="N39" i="1" s="1"/>
  <c r="O38" i="1"/>
  <c r="M38" i="1"/>
  <c r="N38" i="1" s="1"/>
  <c r="O37" i="1"/>
  <c r="M37" i="1"/>
  <c r="N37" i="1" s="1"/>
  <c r="O36" i="1"/>
  <c r="M36" i="1"/>
  <c r="N36" i="1" s="1"/>
  <c r="O35" i="1"/>
  <c r="M35" i="1"/>
  <c r="N35" i="1" s="1"/>
  <c r="O34" i="1"/>
  <c r="M34" i="1"/>
  <c r="N34" i="1" s="1"/>
  <c r="P33" i="1"/>
  <c r="O33" i="1"/>
  <c r="M33" i="1"/>
  <c r="N33" i="1" s="1"/>
  <c r="O32" i="1"/>
  <c r="M32" i="1"/>
  <c r="N32" i="1" s="1"/>
  <c r="O31" i="1"/>
  <c r="M31" i="1"/>
  <c r="N31" i="1" s="1"/>
  <c r="O30" i="1"/>
  <c r="M30" i="1"/>
  <c r="N30" i="1" s="1"/>
  <c r="O29" i="1"/>
  <c r="M29" i="1"/>
  <c r="N29" i="1" s="1"/>
  <c r="P28" i="1"/>
  <c r="O28" i="1"/>
  <c r="M28" i="1"/>
  <c r="N28" i="1" s="1"/>
  <c r="O27" i="1"/>
  <c r="M27" i="1"/>
  <c r="N27" i="1" s="1"/>
  <c r="O26" i="1"/>
  <c r="M26" i="1"/>
  <c r="N26" i="1" s="1"/>
  <c r="O25" i="1"/>
  <c r="M25" i="1"/>
  <c r="N25" i="1" s="1"/>
  <c r="P24" i="1"/>
  <c r="O24" i="1"/>
  <c r="M24" i="1"/>
  <c r="N24" i="1" s="1"/>
  <c r="O23" i="1"/>
  <c r="M23" i="1"/>
  <c r="N23" i="1" s="1"/>
  <c r="O22" i="1"/>
  <c r="M22" i="1"/>
  <c r="N22" i="1" s="1"/>
  <c r="O21" i="1"/>
  <c r="M21" i="1"/>
  <c r="N21" i="1" s="1"/>
  <c r="O20" i="1"/>
  <c r="M20" i="1"/>
  <c r="N20" i="1" s="1"/>
  <c r="P19" i="1"/>
  <c r="O19" i="1"/>
  <c r="M19" i="1"/>
  <c r="N19" i="1" s="1"/>
  <c r="P18" i="1"/>
  <c r="O18" i="1"/>
  <c r="M18" i="1"/>
  <c r="N18" i="1" s="1"/>
  <c r="O17" i="1"/>
  <c r="M17" i="1"/>
  <c r="N17" i="1" s="1"/>
  <c r="P16" i="1"/>
  <c r="O16" i="1"/>
  <c r="M16" i="1"/>
  <c r="N16" i="1" s="1"/>
  <c r="O15" i="1"/>
  <c r="M15" i="1"/>
  <c r="N15" i="1" s="1"/>
  <c r="P14" i="1"/>
  <c r="O14" i="1"/>
  <c r="M14" i="1"/>
  <c r="N14" i="1" s="1"/>
  <c r="O13" i="1"/>
  <c r="M13" i="1"/>
  <c r="N13" i="1" s="1"/>
  <c r="O12" i="1"/>
  <c r="M12" i="1"/>
  <c r="N12" i="1" s="1"/>
  <c r="O11" i="1"/>
  <c r="M11" i="1"/>
  <c r="N11" i="1" s="1"/>
  <c r="O10" i="1"/>
  <c r="M10" i="1"/>
  <c r="N10" i="1" s="1"/>
  <c r="O9" i="1"/>
  <c r="M9" i="1"/>
  <c r="N9" i="1" s="1"/>
  <c r="O8" i="1"/>
  <c r="M8" i="1"/>
  <c r="N8" i="1" s="1"/>
  <c r="O7" i="1"/>
  <c r="M7" i="1"/>
  <c r="N7" i="1" s="1"/>
  <c r="O6" i="1"/>
  <c r="M6" i="1"/>
  <c r="N6" i="1" s="1"/>
  <c r="O5" i="1"/>
  <c r="M5" i="1"/>
  <c r="N5" i="1" s="1"/>
  <c r="O4" i="1"/>
  <c r="M4" i="1"/>
  <c r="N4" i="1" s="1"/>
  <c r="O3" i="1"/>
  <c r="M3" i="1"/>
  <c r="N3" i="1" s="1"/>
  <c r="O2" i="1"/>
  <c r="M2" i="1"/>
  <c r="N2" i="1" s="1"/>
  <c r="P98" i="1" l="1"/>
  <c r="P5" i="1"/>
  <c r="P3" i="1"/>
  <c r="P6" i="1"/>
  <c r="P13" i="1"/>
  <c r="P75" i="1"/>
  <c r="P78" i="1"/>
  <c r="P8" i="1"/>
  <c r="P32" i="1"/>
  <c r="P35" i="1"/>
  <c r="P29" i="1"/>
  <c r="P53" i="1"/>
  <c r="P56" i="1"/>
  <c r="P91" i="1"/>
  <c r="P37" i="1"/>
  <c r="P40" i="1"/>
  <c r="P38" i="1"/>
  <c r="P72" i="1"/>
  <c r="P85" i="1"/>
  <c r="P22" i="1"/>
  <c r="P69" i="1"/>
  <c r="P100" i="1"/>
  <c r="P30" i="1"/>
  <c r="P45" i="1"/>
  <c r="P48" i="1"/>
  <c r="P67" i="1"/>
  <c r="P70" i="1"/>
  <c r="P11" i="1"/>
  <c r="P27" i="1"/>
  <c r="P61" i="1"/>
  <c r="P83" i="1"/>
  <c r="P86" i="1"/>
  <c r="P43" i="1"/>
  <c r="P46" i="1"/>
  <c r="P59" i="1"/>
  <c r="P96" i="1"/>
  <c r="P99" i="1"/>
  <c r="P94" i="1"/>
  <c r="P9" i="1"/>
  <c r="P17" i="1"/>
  <c r="P25" i="1"/>
  <c r="P41" i="1"/>
  <c r="P49" i="1"/>
  <c r="P57" i="1"/>
  <c r="P65" i="1"/>
  <c r="P73" i="1"/>
  <c r="P81" i="1"/>
  <c r="P89" i="1"/>
  <c r="P97" i="1"/>
  <c r="P4" i="1"/>
  <c r="P20" i="1"/>
  <c r="P36" i="1"/>
  <c r="P44" i="1"/>
  <c r="P52" i="1"/>
  <c r="P68" i="1"/>
  <c r="P76" i="1"/>
  <c r="P84" i="1"/>
  <c r="P92" i="1"/>
  <c r="P12" i="1"/>
  <c r="P7" i="1"/>
  <c r="P15" i="1"/>
  <c r="P23" i="1"/>
  <c r="P31" i="1"/>
  <c r="P39" i="1"/>
  <c r="P47" i="1"/>
  <c r="P55" i="1"/>
  <c r="P63" i="1"/>
  <c r="P71" i="1"/>
  <c r="P79" i="1"/>
  <c r="P87" i="1"/>
  <c r="P2" i="1"/>
  <c r="P10" i="1"/>
  <c r="P26" i="1"/>
  <c r="P34" i="1"/>
  <c r="P42" i="1"/>
  <c r="P50" i="1"/>
  <c r="P58" i="1"/>
  <c r="P66" i="1"/>
  <c r="P74" i="1"/>
  <c r="P90" i="1"/>
  <c r="P21" i="1"/>
  <c r="P101" i="1"/>
</calcChain>
</file>

<file path=xl/sharedStrings.xml><?xml version="1.0" encoding="utf-8"?>
<sst xmlns="http://schemas.openxmlformats.org/spreadsheetml/2006/main" count="616" uniqueCount="138">
  <si>
    <t>Item ID SKU</t>
  </si>
  <si>
    <t>Metal Type</t>
  </si>
  <si>
    <t>Purity Karat</t>
  </si>
  <si>
    <t>Category</t>
  </si>
  <si>
    <t>Weight grams</t>
  </si>
  <si>
    <t>Quantity</t>
  </si>
  <si>
    <t>Received Date</t>
  </si>
  <si>
    <t>Last Movement Date</t>
  </si>
  <si>
    <t>Metal Rate AED g</t>
  </si>
  <si>
    <t>Making Cost AED</t>
  </si>
  <si>
    <t>Supplier Name</t>
  </si>
  <si>
    <t>Branch Location</t>
  </si>
  <si>
    <t>Days in Stock</t>
  </si>
  <si>
    <t>Age Bucket</t>
  </si>
  <si>
    <t>Total Value AED</t>
  </si>
  <si>
    <t>Movement Status</t>
  </si>
  <si>
    <t>P-950-RIN-001</t>
  </si>
  <si>
    <t>Platinum</t>
  </si>
  <si>
    <t>950</t>
  </si>
  <si>
    <t>Ring</t>
  </si>
  <si>
    <t>Joy Alukkas</t>
  </si>
  <si>
    <t>Dubai Main Store</t>
  </si>
  <si>
    <t>G-18K-CHA-002</t>
  </si>
  <si>
    <t>Gold</t>
  </si>
  <si>
    <t>18K</t>
  </si>
  <si>
    <t>Chain</t>
  </si>
  <si>
    <t>Online Warehouse</t>
  </si>
  <si>
    <t>S-999-RIN-003</t>
  </si>
  <si>
    <t>Silver</t>
  </si>
  <si>
    <t>999</t>
  </si>
  <si>
    <t>P-950-EAR-004</t>
  </si>
  <si>
    <t>Earrings</t>
  </si>
  <si>
    <t>P-950-BAN-005</t>
  </si>
  <si>
    <t>Bangle</t>
  </si>
  <si>
    <t>Mall Branch</t>
  </si>
  <si>
    <t>G-24K-PEN-006</t>
  </si>
  <si>
    <t>24K</t>
  </si>
  <si>
    <t>Pendant</t>
  </si>
  <si>
    <t>G-22K-CHA-007</t>
  </si>
  <si>
    <t>22K</t>
  </si>
  <si>
    <t>S-925-COI-008</t>
  </si>
  <si>
    <t>925</t>
  </si>
  <si>
    <t>Coin</t>
  </si>
  <si>
    <t>S-999-EAR-009</t>
  </si>
  <si>
    <t>S-999-CHA-010</t>
  </si>
  <si>
    <t>G-24K-CHA-011</t>
  </si>
  <si>
    <t>P-950-NEC-012</t>
  </si>
  <si>
    <t>Necklace</t>
  </si>
  <si>
    <t>P-950-CHA-013</t>
  </si>
  <si>
    <t>P-950-NEC-014</t>
  </si>
  <si>
    <t>P-950-BAR-015</t>
  </si>
  <si>
    <t>Bar</t>
  </si>
  <si>
    <t>S-925-COI-016</t>
  </si>
  <si>
    <t>S-999-BRA-017</t>
  </si>
  <si>
    <t>Bracelet</t>
  </si>
  <si>
    <t>S-999-BAN-018</t>
  </si>
  <si>
    <t>P-950-PEN-019</t>
  </si>
  <si>
    <t>P-950-CHA-020</t>
  </si>
  <si>
    <t>P-950-PEN-021</t>
  </si>
  <si>
    <t>S-925-EAR-022</t>
  </si>
  <si>
    <t>P-950-EAR-023</t>
  </si>
  <si>
    <t>S-999-COI-024</t>
  </si>
  <si>
    <t>P-950-EAR-025</t>
  </si>
  <si>
    <t>P-950-EAR-026</t>
  </si>
  <si>
    <t>S-999-EAR-027</t>
  </si>
  <si>
    <t>P-950-BRA-028</t>
  </si>
  <si>
    <t>S-999-RIN-029</t>
  </si>
  <si>
    <t>G-18K-BRA-030</t>
  </si>
  <si>
    <t>G-18K-BRA-031</t>
  </si>
  <si>
    <t>P-950-BAN-032</t>
  </si>
  <si>
    <t>P-950-COI-033</t>
  </si>
  <si>
    <t>S-999-BAN-034</t>
  </si>
  <si>
    <t>G-18K-EAR-035</t>
  </si>
  <si>
    <t>G-24K-RIN-036</t>
  </si>
  <si>
    <t>S-999-EAR-037</t>
  </si>
  <si>
    <t>S-999-EAR-038</t>
  </si>
  <si>
    <t>S-925-BAN-039</t>
  </si>
  <si>
    <t>S-925-PEN-040</t>
  </si>
  <si>
    <t>G-18K-CHA-041</t>
  </si>
  <si>
    <t>S-999-BAN-042</t>
  </si>
  <si>
    <t>S-999-PEN-043</t>
  </si>
  <si>
    <t>G-24K-BRA-044</t>
  </si>
  <si>
    <t>P-950-CHA-045</t>
  </si>
  <si>
    <t>S-925-BAN-046</t>
  </si>
  <si>
    <t>S-999-PEN-047</t>
  </si>
  <si>
    <t>S-925-NEC-048</t>
  </si>
  <si>
    <t>G-18K-EAR-049</t>
  </si>
  <si>
    <t>G-18K-BRA-050</t>
  </si>
  <si>
    <t>G-18K-CHA-051</t>
  </si>
  <si>
    <t>G-18K-BAN-052</t>
  </si>
  <si>
    <t>G-18K-RIN-053</t>
  </si>
  <si>
    <t>P-950-COI-054</t>
  </si>
  <si>
    <t>S-999-COI-055</t>
  </si>
  <si>
    <t>S-999-CHA-056</t>
  </si>
  <si>
    <t>S-999-BAR-057</t>
  </si>
  <si>
    <t>G-22K-EAR-058</t>
  </si>
  <si>
    <t>P-950-EAR-059</t>
  </si>
  <si>
    <t>G-22K-CHA-060</t>
  </si>
  <si>
    <t>S-999-BAR-061</t>
  </si>
  <si>
    <t>S-925-RIN-062</t>
  </si>
  <si>
    <t>G-24K-BAR-063</t>
  </si>
  <si>
    <t>P-950-EAR-064</t>
  </si>
  <si>
    <t>G-24K-NEC-065</t>
  </si>
  <si>
    <t>P-950-PEN-066</t>
  </si>
  <si>
    <t>S-999-BAR-067</t>
  </si>
  <si>
    <t>S-925-NEC-068</t>
  </si>
  <si>
    <t>S-999-NEC-069</t>
  </si>
  <si>
    <t>P-950-COI-070</t>
  </si>
  <si>
    <t>S-999-BAN-071</t>
  </si>
  <si>
    <t>G-24K-RIN-072</t>
  </si>
  <si>
    <t>S-999-COI-073</t>
  </si>
  <si>
    <t>P-950-RIN-074</t>
  </si>
  <si>
    <t>P-950-RIN-075</t>
  </si>
  <si>
    <t>P-950-PEN-076</t>
  </si>
  <si>
    <t>S-999-COI-077</t>
  </si>
  <si>
    <t>P-950-BAR-078</t>
  </si>
  <si>
    <t>S-999-COI-079</t>
  </si>
  <si>
    <t>S-925-COI-080</t>
  </si>
  <si>
    <t>P-950-NEC-081</t>
  </si>
  <si>
    <t>S-999-COI-082</t>
  </si>
  <si>
    <t>P-950-BRA-083</t>
  </si>
  <si>
    <t>G-18K-BRA-084</t>
  </si>
  <si>
    <t>S-925-CHA-085</t>
  </si>
  <si>
    <t>G-24K-NEC-086</t>
  </si>
  <si>
    <t>S-999-BRA-087</t>
  </si>
  <si>
    <t>P-950-PEN-088</t>
  </si>
  <si>
    <t>G-18K-RIN-089</t>
  </si>
  <si>
    <t>G-18K-EAR-090</t>
  </si>
  <si>
    <t>G-24K-BRA-091</t>
  </si>
  <si>
    <t>P-950-BRA-092</t>
  </si>
  <si>
    <t>P-950-NEC-093</t>
  </si>
  <si>
    <t>G-18K-COI-094</t>
  </si>
  <si>
    <t>S-925-CHA-095</t>
  </si>
  <si>
    <t>S-925-EAR-096</t>
  </si>
  <si>
    <t>G-22K-NEC-097</t>
  </si>
  <si>
    <t>S-925-EAR-098</t>
  </si>
  <si>
    <t>G-22K-PEN-099</t>
  </si>
  <si>
    <t>S-925-RIN-100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</si>
</sst>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tabSelected="1" workbookViewId="0">
      <selection sqref="A1:P1048576"/>
    </sheetView>
  </sheetViews>
  <sheetFormatPr defaultRowHeight="14.4" x14ac:dyDescent="0.3"/>
  <cols>
    <col min="6" max="6" width="8.33203125" bestFit="1" customWidth="1"/>
    <col min="7" max="7" width="12.88671875" bestFit="1" customWidth="1"/>
    <col min="8" max="8" width="18.6640625" bestFit="1" customWidth="1"/>
    <col min="9" max="9" width="15.5546875" bestFit="1" customWidth="1"/>
    <col min="10" max="10" width="15.44140625" bestFit="1" customWidth="1"/>
    <col min="11" max="11" width="13.44140625" bestFit="1" customWidth="1"/>
    <col min="12" max="12" width="16.109375" bestFit="1" customWidth="1"/>
    <col min="13" max="13" width="11.6640625" bestFit="1" customWidth="1"/>
    <col min="14" max="14" width="10" bestFit="1" customWidth="1"/>
    <col min="15" max="15" width="14.109375" bestFit="1" customWidth="1"/>
    <col min="16" max="16" width="15.44140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>
        <v>8.1199999999999992</v>
      </c>
      <c r="F2">
        <v>1</v>
      </c>
      <c r="G2" s="2">
        <v>45573</v>
      </c>
      <c r="H2" s="2">
        <v>45698</v>
      </c>
      <c r="I2">
        <v>157.78</v>
      </c>
      <c r="J2">
        <v>905.19</v>
      </c>
      <c r="K2" t="s">
        <v>20</v>
      </c>
      <c r="L2" t="s">
        <v>21</v>
      </c>
      <c r="M2">
        <f t="shared" ref="M2:M33" ca="1" si="0">TODAY()-G2</f>
        <v>388</v>
      </c>
      <c r="N2" t="str">
        <f t="shared" ref="N2:N33" ca="1" si="1">IF(M2&lt;=30,"0 to 30",IF(M2&lt;=60,"31 to 60",IF(M2&lt;=180,"61 to 180","180 plus")))</f>
        <v>180 plus</v>
      </c>
      <c r="O2">
        <f t="shared" ref="O2:O33" si="2">E2*I2+J2</f>
        <v>2186.3635999999997</v>
      </c>
      <c r="P2" t="str">
        <f t="shared" ref="P2:P33" ca="1" si="3">IF(TODAY()-H2&lt;=30,"Active",IF(M2&gt;180,"Unsold","Slow Moving"))</f>
        <v>Unsold</v>
      </c>
    </row>
    <row r="3" spans="1:16" x14ac:dyDescent="0.3">
      <c r="A3" t="s">
        <v>22</v>
      </c>
      <c r="B3" t="s">
        <v>23</v>
      </c>
      <c r="C3" t="s">
        <v>24</v>
      </c>
      <c r="D3" t="s">
        <v>25</v>
      </c>
      <c r="E3">
        <v>53.91</v>
      </c>
      <c r="F3">
        <v>1</v>
      </c>
      <c r="G3" s="2">
        <v>45850</v>
      </c>
      <c r="H3" s="2">
        <v>45861</v>
      </c>
      <c r="I3">
        <v>241.24</v>
      </c>
      <c r="J3">
        <v>271.58999999999997</v>
      </c>
      <c r="K3" t="s">
        <v>20</v>
      </c>
      <c r="L3" t="s">
        <v>26</v>
      </c>
      <c r="M3">
        <f t="shared" ca="1" si="0"/>
        <v>111</v>
      </c>
      <c r="N3" t="str">
        <f t="shared" ca="1" si="1"/>
        <v>61 to 180</v>
      </c>
      <c r="O3">
        <f t="shared" si="2"/>
        <v>13276.838400000001</v>
      </c>
      <c r="P3" t="str">
        <f t="shared" ca="1" si="3"/>
        <v>Slow Moving</v>
      </c>
    </row>
    <row r="4" spans="1:16" x14ac:dyDescent="0.3">
      <c r="A4" t="s">
        <v>27</v>
      </c>
      <c r="B4" t="s">
        <v>28</v>
      </c>
      <c r="C4" t="s">
        <v>29</v>
      </c>
      <c r="D4" t="s">
        <v>19</v>
      </c>
      <c r="E4">
        <v>3.52</v>
      </c>
      <c r="F4">
        <v>1</v>
      </c>
      <c r="G4" s="2">
        <v>45387</v>
      </c>
      <c r="H4" s="2">
        <v>45610</v>
      </c>
      <c r="I4">
        <v>4.1900000000000004</v>
      </c>
      <c r="J4">
        <v>188.31</v>
      </c>
      <c r="K4" t="s">
        <v>20</v>
      </c>
      <c r="L4" t="s">
        <v>21</v>
      </c>
      <c r="M4">
        <f t="shared" ca="1" si="0"/>
        <v>574</v>
      </c>
      <c r="N4" t="str">
        <f t="shared" ca="1" si="1"/>
        <v>180 plus</v>
      </c>
      <c r="O4">
        <f t="shared" si="2"/>
        <v>203.05879999999999</v>
      </c>
      <c r="P4" t="str">
        <f t="shared" ca="1" si="3"/>
        <v>Unsold</v>
      </c>
    </row>
    <row r="5" spans="1:16" x14ac:dyDescent="0.3">
      <c r="A5" t="s">
        <v>30</v>
      </c>
      <c r="B5" t="s">
        <v>17</v>
      </c>
      <c r="C5" t="s">
        <v>18</v>
      </c>
      <c r="D5" t="s">
        <v>31</v>
      </c>
      <c r="E5">
        <v>6.54</v>
      </c>
      <c r="F5">
        <v>1</v>
      </c>
      <c r="G5" s="2">
        <v>45495</v>
      </c>
      <c r="H5" s="2">
        <v>45861</v>
      </c>
      <c r="I5">
        <v>115.93</v>
      </c>
      <c r="J5">
        <v>1166.9000000000001</v>
      </c>
      <c r="K5" t="s">
        <v>20</v>
      </c>
      <c r="L5" t="s">
        <v>26</v>
      </c>
      <c r="M5">
        <f t="shared" ca="1" si="0"/>
        <v>466</v>
      </c>
      <c r="N5" t="str">
        <f t="shared" ca="1" si="1"/>
        <v>180 plus</v>
      </c>
      <c r="O5">
        <f t="shared" si="2"/>
        <v>1925.0822000000003</v>
      </c>
      <c r="P5" t="str">
        <f t="shared" ca="1" si="3"/>
        <v>Unsold</v>
      </c>
    </row>
    <row r="6" spans="1:16" x14ac:dyDescent="0.3">
      <c r="A6" t="s">
        <v>32</v>
      </c>
      <c r="B6" t="s">
        <v>17</v>
      </c>
      <c r="C6" t="s">
        <v>18</v>
      </c>
      <c r="D6" t="s">
        <v>33</v>
      </c>
      <c r="E6">
        <v>35.31</v>
      </c>
      <c r="F6">
        <v>1</v>
      </c>
      <c r="G6" s="2">
        <v>45751</v>
      </c>
      <c r="H6" s="2">
        <v>45901</v>
      </c>
      <c r="I6">
        <v>124.56</v>
      </c>
      <c r="J6">
        <v>300.01</v>
      </c>
      <c r="K6" t="s">
        <v>20</v>
      </c>
      <c r="L6" t="s">
        <v>34</v>
      </c>
      <c r="M6">
        <f t="shared" ca="1" si="0"/>
        <v>210</v>
      </c>
      <c r="N6" t="str">
        <f t="shared" ca="1" si="1"/>
        <v>180 plus</v>
      </c>
      <c r="O6">
        <f t="shared" si="2"/>
        <v>4698.2236000000003</v>
      </c>
      <c r="P6" t="str">
        <f t="shared" ca="1" si="3"/>
        <v>Unsold</v>
      </c>
    </row>
    <row r="7" spans="1:16" x14ac:dyDescent="0.3">
      <c r="A7" t="s">
        <v>35</v>
      </c>
      <c r="B7" t="s">
        <v>23</v>
      </c>
      <c r="C7" t="s">
        <v>36</v>
      </c>
      <c r="D7" t="s">
        <v>37</v>
      </c>
      <c r="E7">
        <v>6.02</v>
      </c>
      <c r="F7">
        <v>1</v>
      </c>
      <c r="G7" s="2">
        <v>45640</v>
      </c>
      <c r="H7" s="2">
        <v>45782</v>
      </c>
      <c r="I7">
        <v>247.17</v>
      </c>
      <c r="J7">
        <v>677.23</v>
      </c>
      <c r="K7" t="s">
        <v>20</v>
      </c>
      <c r="L7" t="s">
        <v>21</v>
      </c>
      <c r="M7">
        <f t="shared" ca="1" si="0"/>
        <v>321</v>
      </c>
      <c r="N7" t="str">
        <f t="shared" ca="1" si="1"/>
        <v>180 plus</v>
      </c>
      <c r="O7">
        <f t="shared" si="2"/>
        <v>2165.1934000000001</v>
      </c>
      <c r="P7" t="str">
        <f t="shared" ca="1" si="3"/>
        <v>Unsold</v>
      </c>
    </row>
    <row r="8" spans="1:16" x14ac:dyDescent="0.3">
      <c r="A8" t="s">
        <v>38</v>
      </c>
      <c r="B8" t="s">
        <v>23</v>
      </c>
      <c r="C8" t="s">
        <v>39</v>
      </c>
      <c r="D8" t="s">
        <v>25</v>
      </c>
      <c r="E8">
        <v>43.08</v>
      </c>
      <c r="F8">
        <v>1</v>
      </c>
      <c r="G8" s="2">
        <v>45386</v>
      </c>
      <c r="H8" s="2">
        <v>45775</v>
      </c>
      <c r="I8">
        <v>246.65</v>
      </c>
      <c r="J8">
        <v>773.04</v>
      </c>
      <c r="K8" t="s">
        <v>20</v>
      </c>
      <c r="L8" t="s">
        <v>21</v>
      </c>
      <c r="M8">
        <f t="shared" ca="1" si="0"/>
        <v>575</v>
      </c>
      <c r="N8" t="str">
        <f t="shared" ca="1" si="1"/>
        <v>180 plus</v>
      </c>
      <c r="O8">
        <f t="shared" si="2"/>
        <v>11398.722000000002</v>
      </c>
      <c r="P8" t="str">
        <f t="shared" ca="1" si="3"/>
        <v>Unsold</v>
      </c>
    </row>
    <row r="9" spans="1:16" x14ac:dyDescent="0.3">
      <c r="A9" t="s">
        <v>40</v>
      </c>
      <c r="B9" t="s">
        <v>28</v>
      </c>
      <c r="C9" t="s">
        <v>41</v>
      </c>
      <c r="D9" t="s">
        <v>42</v>
      </c>
      <c r="E9">
        <v>15.58</v>
      </c>
      <c r="F9">
        <v>1</v>
      </c>
      <c r="G9" s="2">
        <v>45762</v>
      </c>
      <c r="H9" s="2">
        <v>45899</v>
      </c>
      <c r="I9">
        <v>2.87</v>
      </c>
      <c r="J9">
        <v>122.58</v>
      </c>
      <c r="K9" t="s">
        <v>20</v>
      </c>
      <c r="L9" t="s">
        <v>21</v>
      </c>
      <c r="M9">
        <f t="shared" ca="1" si="0"/>
        <v>199</v>
      </c>
      <c r="N9" t="str">
        <f t="shared" ca="1" si="1"/>
        <v>180 plus</v>
      </c>
      <c r="O9">
        <f t="shared" si="2"/>
        <v>167.2946</v>
      </c>
      <c r="P9" t="str">
        <f t="shared" ca="1" si="3"/>
        <v>Unsold</v>
      </c>
    </row>
    <row r="10" spans="1:16" x14ac:dyDescent="0.3">
      <c r="A10" t="s">
        <v>43</v>
      </c>
      <c r="B10" t="s">
        <v>28</v>
      </c>
      <c r="C10" t="s">
        <v>29</v>
      </c>
      <c r="D10" t="s">
        <v>31</v>
      </c>
      <c r="E10">
        <v>6.19</v>
      </c>
      <c r="F10">
        <v>1</v>
      </c>
      <c r="G10" s="2">
        <v>45592</v>
      </c>
      <c r="H10" s="2">
        <v>45913</v>
      </c>
      <c r="I10">
        <v>4.01</v>
      </c>
      <c r="J10">
        <v>75.91</v>
      </c>
      <c r="K10" t="s">
        <v>20</v>
      </c>
      <c r="L10" t="s">
        <v>26</v>
      </c>
      <c r="M10">
        <f t="shared" ca="1" si="0"/>
        <v>369</v>
      </c>
      <c r="N10" t="str">
        <f t="shared" ca="1" si="1"/>
        <v>180 plus</v>
      </c>
      <c r="O10">
        <f t="shared" si="2"/>
        <v>100.7319</v>
      </c>
      <c r="P10" t="str">
        <f t="shared" ca="1" si="3"/>
        <v>Unsold</v>
      </c>
    </row>
    <row r="11" spans="1:16" x14ac:dyDescent="0.3">
      <c r="A11" t="s">
        <v>44</v>
      </c>
      <c r="B11" t="s">
        <v>28</v>
      </c>
      <c r="C11" t="s">
        <v>29</v>
      </c>
      <c r="D11" t="s">
        <v>25</v>
      </c>
      <c r="E11">
        <v>71.42</v>
      </c>
      <c r="F11">
        <v>1</v>
      </c>
      <c r="G11" s="2">
        <v>45338</v>
      </c>
      <c r="H11" s="2">
        <v>45571</v>
      </c>
      <c r="I11">
        <v>3.56</v>
      </c>
      <c r="J11">
        <v>33.01</v>
      </c>
      <c r="K11" t="s">
        <v>20</v>
      </c>
      <c r="L11" t="s">
        <v>34</v>
      </c>
      <c r="M11">
        <f t="shared" ca="1" si="0"/>
        <v>623</v>
      </c>
      <c r="N11" t="str">
        <f t="shared" ca="1" si="1"/>
        <v>180 plus</v>
      </c>
      <c r="O11">
        <f t="shared" si="2"/>
        <v>287.26519999999999</v>
      </c>
      <c r="P11" t="str">
        <f t="shared" ca="1" si="3"/>
        <v>Unsold</v>
      </c>
    </row>
    <row r="12" spans="1:16" x14ac:dyDescent="0.3">
      <c r="A12" t="s">
        <v>45</v>
      </c>
      <c r="B12" t="s">
        <v>23</v>
      </c>
      <c r="C12" t="s">
        <v>36</v>
      </c>
      <c r="D12" t="s">
        <v>25</v>
      </c>
      <c r="E12">
        <v>54.49</v>
      </c>
      <c r="F12">
        <v>1</v>
      </c>
      <c r="G12" s="2">
        <v>45681</v>
      </c>
      <c r="H12" s="2">
        <v>45823</v>
      </c>
      <c r="I12">
        <v>241.82</v>
      </c>
      <c r="J12">
        <v>171.56</v>
      </c>
      <c r="K12" t="s">
        <v>20</v>
      </c>
      <c r="L12" t="s">
        <v>34</v>
      </c>
      <c r="M12">
        <f t="shared" ca="1" si="0"/>
        <v>280</v>
      </c>
      <c r="N12" t="str">
        <f t="shared" ca="1" si="1"/>
        <v>180 plus</v>
      </c>
      <c r="O12">
        <f t="shared" si="2"/>
        <v>13348.3318</v>
      </c>
      <c r="P12" t="str">
        <f t="shared" ca="1" si="3"/>
        <v>Unsold</v>
      </c>
    </row>
    <row r="13" spans="1:16" x14ac:dyDescent="0.3">
      <c r="A13" t="s">
        <v>46</v>
      </c>
      <c r="B13" t="s">
        <v>17</v>
      </c>
      <c r="C13" t="s">
        <v>18</v>
      </c>
      <c r="D13" t="s">
        <v>47</v>
      </c>
      <c r="E13">
        <v>76.930000000000007</v>
      </c>
      <c r="F13">
        <v>1</v>
      </c>
      <c r="G13" s="2">
        <v>45671</v>
      </c>
      <c r="H13" s="2">
        <v>45852</v>
      </c>
      <c r="I13">
        <v>158.44999999999999</v>
      </c>
      <c r="J13">
        <v>989.24</v>
      </c>
      <c r="K13" t="s">
        <v>20</v>
      </c>
      <c r="L13" t="s">
        <v>21</v>
      </c>
      <c r="M13">
        <f t="shared" ca="1" si="0"/>
        <v>290</v>
      </c>
      <c r="N13" t="str">
        <f t="shared" ca="1" si="1"/>
        <v>180 plus</v>
      </c>
      <c r="O13">
        <f t="shared" si="2"/>
        <v>13178.798500000001</v>
      </c>
      <c r="P13" t="str">
        <f t="shared" ca="1" si="3"/>
        <v>Unsold</v>
      </c>
    </row>
    <row r="14" spans="1:16" x14ac:dyDescent="0.3">
      <c r="A14" t="s">
        <v>48</v>
      </c>
      <c r="B14" t="s">
        <v>17</v>
      </c>
      <c r="C14" t="s">
        <v>18</v>
      </c>
      <c r="D14" t="s">
        <v>25</v>
      </c>
      <c r="E14">
        <v>28.71</v>
      </c>
      <c r="F14">
        <v>1</v>
      </c>
      <c r="G14" s="2">
        <v>45915</v>
      </c>
      <c r="H14" s="2">
        <v>45955</v>
      </c>
      <c r="I14">
        <v>119.4</v>
      </c>
      <c r="J14">
        <v>852.66</v>
      </c>
      <c r="K14" t="s">
        <v>20</v>
      </c>
      <c r="L14" t="s">
        <v>21</v>
      </c>
      <c r="M14">
        <f t="shared" ca="1" si="0"/>
        <v>46</v>
      </c>
      <c r="N14" t="str">
        <f t="shared" ca="1" si="1"/>
        <v>31 to 60</v>
      </c>
      <c r="O14">
        <f t="shared" si="2"/>
        <v>4280.634</v>
      </c>
      <c r="P14" t="str">
        <f t="shared" ca="1" si="3"/>
        <v>Active</v>
      </c>
    </row>
    <row r="15" spans="1:16" x14ac:dyDescent="0.3">
      <c r="A15" t="s">
        <v>49</v>
      </c>
      <c r="B15" t="s">
        <v>17</v>
      </c>
      <c r="C15" t="s">
        <v>18</v>
      </c>
      <c r="D15" t="s">
        <v>47</v>
      </c>
      <c r="E15">
        <v>46.41</v>
      </c>
      <c r="F15">
        <v>1</v>
      </c>
      <c r="G15" s="2">
        <v>45765</v>
      </c>
      <c r="H15" s="2">
        <v>45862</v>
      </c>
      <c r="I15">
        <v>120.49</v>
      </c>
      <c r="J15">
        <v>644.69000000000005</v>
      </c>
      <c r="K15" t="s">
        <v>20</v>
      </c>
      <c r="L15" t="s">
        <v>34</v>
      </c>
      <c r="M15">
        <f t="shared" ca="1" si="0"/>
        <v>196</v>
      </c>
      <c r="N15" t="str">
        <f t="shared" ca="1" si="1"/>
        <v>180 plus</v>
      </c>
      <c r="O15">
        <f t="shared" si="2"/>
        <v>6236.6309000000001</v>
      </c>
      <c r="P15" t="str">
        <f t="shared" ca="1" si="3"/>
        <v>Unsold</v>
      </c>
    </row>
    <row r="16" spans="1:16" x14ac:dyDescent="0.3">
      <c r="A16" t="s">
        <v>50</v>
      </c>
      <c r="B16" t="s">
        <v>17</v>
      </c>
      <c r="C16" t="s">
        <v>18</v>
      </c>
      <c r="D16" t="s">
        <v>51</v>
      </c>
      <c r="E16">
        <v>22.75</v>
      </c>
      <c r="F16">
        <v>1</v>
      </c>
      <c r="G16" s="2">
        <v>45526</v>
      </c>
      <c r="H16" s="2">
        <v>45946</v>
      </c>
      <c r="I16">
        <v>155.91999999999999</v>
      </c>
      <c r="J16">
        <v>384.66</v>
      </c>
      <c r="K16" t="s">
        <v>20</v>
      </c>
      <c r="L16" t="s">
        <v>21</v>
      </c>
      <c r="M16">
        <f t="shared" ca="1" si="0"/>
        <v>435</v>
      </c>
      <c r="N16" t="str">
        <f t="shared" ca="1" si="1"/>
        <v>180 plus</v>
      </c>
      <c r="O16">
        <f t="shared" si="2"/>
        <v>3931.8399999999997</v>
      </c>
      <c r="P16" t="str">
        <f t="shared" ca="1" si="3"/>
        <v>Active</v>
      </c>
    </row>
    <row r="17" spans="1:16" x14ac:dyDescent="0.3">
      <c r="A17" t="s">
        <v>52</v>
      </c>
      <c r="B17" t="s">
        <v>28</v>
      </c>
      <c r="C17" t="s">
        <v>41</v>
      </c>
      <c r="D17" t="s">
        <v>42</v>
      </c>
      <c r="E17">
        <v>36.5</v>
      </c>
      <c r="F17">
        <v>1</v>
      </c>
      <c r="G17" s="2">
        <v>45508</v>
      </c>
      <c r="H17" s="2">
        <v>45798</v>
      </c>
      <c r="I17">
        <v>2.92</v>
      </c>
      <c r="J17">
        <v>165.62</v>
      </c>
      <c r="K17" t="s">
        <v>20</v>
      </c>
      <c r="L17" t="s">
        <v>26</v>
      </c>
      <c r="M17">
        <f t="shared" ca="1" si="0"/>
        <v>453</v>
      </c>
      <c r="N17" t="str">
        <f t="shared" ca="1" si="1"/>
        <v>180 plus</v>
      </c>
      <c r="O17">
        <f t="shared" si="2"/>
        <v>272.2</v>
      </c>
      <c r="P17" t="str">
        <f t="shared" ca="1" si="3"/>
        <v>Unsold</v>
      </c>
    </row>
    <row r="18" spans="1:16" x14ac:dyDescent="0.3">
      <c r="A18" t="s">
        <v>53</v>
      </c>
      <c r="B18" t="s">
        <v>28</v>
      </c>
      <c r="C18" t="s">
        <v>29</v>
      </c>
      <c r="D18" t="s">
        <v>54</v>
      </c>
      <c r="E18">
        <v>39.6</v>
      </c>
      <c r="F18">
        <v>1</v>
      </c>
      <c r="G18" s="2">
        <v>45697</v>
      </c>
      <c r="H18" s="2">
        <v>45931</v>
      </c>
      <c r="I18">
        <v>2.63</v>
      </c>
      <c r="J18">
        <v>291.48</v>
      </c>
      <c r="K18" t="s">
        <v>20</v>
      </c>
      <c r="L18" t="s">
        <v>21</v>
      </c>
      <c r="M18">
        <f t="shared" ca="1" si="0"/>
        <v>264</v>
      </c>
      <c r="N18" t="str">
        <f t="shared" ca="1" si="1"/>
        <v>180 plus</v>
      </c>
      <c r="O18">
        <f t="shared" si="2"/>
        <v>395.62800000000004</v>
      </c>
      <c r="P18" t="str">
        <f t="shared" ca="1" si="3"/>
        <v>Active</v>
      </c>
    </row>
    <row r="19" spans="1:16" x14ac:dyDescent="0.3">
      <c r="A19" t="s">
        <v>55</v>
      </c>
      <c r="B19" t="s">
        <v>28</v>
      </c>
      <c r="C19" t="s">
        <v>29</v>
      </c>
      <c r="D19" t="s">
        <v>33</v>
      </c>
      <c r="E19">
        <v>57.63</v>
      </c>
      <c r="F19">
        <v>1</v>
      </c>
      <c r="G19" s="2">
        <v>45866</v>
      </c>
      <c r="H19" s="2">
        <v>45934</v>
      </c>
      <c r="I19">
        <v>4.3600000000000003</v>
      </c>
      <c r="J19">
        <v>270.55</v>
      </c>
      <c r="K19" t="s">
        <v>20</v>
      </c>
      <c r="L19" t="s">
        <v>34</v>
      </c>
      <c r="M19">
        <f t="shared" ca="1" si="0"/>
        <v>95</v>
      </c>
      <c r="N19" t="str">
        <f t="shared" ca="1" si="1"/>
        <v>61 to 180</v>
      </c>
      <c r="O19">
        <f t="shared" si="2"/>
        <v>521.81680000000006</v>
      </c>
      <c r="P19" t="str">
        <f t="shared" ca="1" si="3"/>
        <v>Active</v>
      </c>
    </row>
    <row r="20" spans="1:16" x14ac:dyDescent="0.3">
      <c r="A20" t="s">
        <v>56</v>
      </c>
      <c r="B20" t="s">
        <v>17</v>
      </c>
      <c r="C20" t="s">
        <v>18</v>
      </c>
      <c r="D20" t="s">
        <v>37</v>
      </c>
      <c r="E20">
        <v>12.37</v>
      </c>
      <c r="F20">
        <v>1</v>
      </c>
      <c r="G20" s="2">
        <v>45662</v>
      </c>
      <c r="H20" s="2">
        <v>45774</v>
      </c>
      <c r="I20">
        <v>156.47999999999999</v>
      </c>
      <c r="J20">
        <v>197.34</v>
      </c>
      <c r="K20" t="s">
        <v>20</v>
      </c>
      <c r="L20" t="s">
        <v>21</v>
      </c>
      <c r="M20">
        <f t="shared" ca="1" si="0"/>
        <v>299</v>
      </c>
      <c r="N20" t="str">
        <f t="shared" ca="1" si="1"/>
        <v>180 plus</v>
      </c>
      <c r="O20">
        <f t="shared" si="2"/>
        <v>2132.9975999999997</v>
      </c>
      <c r="P20" t="str">
        <f t="shared" ca="1" si="3"/>
        <v>Unsold</v>
      </c>
    </row>
    <row r="21" spans="1:16" x14ac:dyDescent="0.3">
      <c r="A21" t="s">
        <v>57</v>
      </c>
      <c r="B21" t="s">
        <v>17</v>
      </c>
      <c r="C21" t="s">
        <v>18</v>
      </c>
      <c r="D21" t="s">
        <v>25</v>
      </c>
      <c r="E21">
        <v>23.82</v>
      </c>
      <c r="F21">
        <v>1</v>
      </c>
      <c r="G21" s="2">
        <v>45340</v>
      </c>
      <c r="H21" s="2">
        <v>45452</v>
      </c>
      <c r="I21">
        <v>117.04</v>
      </c>
      <c r="J21">
        <v>457.86</v>
      </c>
      <c r="K21" t="s">
        <v>20</v>
      </c>
      <c r="L21" t="s">
        <v>21</v>
      </c>
      <c r="M21">
        <f t="shared" ca="1" si="0"/>
        <v>621</v>
      </c>
      <c r="N21" t="str">
        <f t="shared" ca="1" si="1"/>
        <v>180 plus</v>
      </c>
      <c r="O21">
        <f t="shared" si="2"/>
        <v>3245.7528000000002</v>
      </c>
      <c r="P21" t="str">
        <f t="shared" ca="1" si="3"/>
        <v>Unsold</v>
      </c>
    </row>
    <row r="22" spans="1:16" x14ac:dyDescent="0.3">
      <c r="A22" t="s">
        <v>58</v>
      </c>
      <c r="B22" t="s">
        <v>17</v>
      </c>
      <c r="C22" t="s">
        <v>18</v>
      </c>
      <c r="D22" t="s">
        <v>37</v>
      </c>
      <c r="E22">
        <v>9.44</v>
      </c>
      <c r="F22">
        <v>1</v>
      </c>
      <c r="G22" s="2">
        <v>45902</v>
      </c>
      <c r="H22" s="2">
        <v>45906</v>
      </c>
      <c r="I22">
        <v>127.21</v>
      </c>
      <c r="J22">
        <v>1011.61</v>
      </c>
      <c r="K22" t="s">
        <v>20</v>
      </c>
      <c r="L22" t="s">
        <v>34</v>
      </c>
      <c r="M22">
        <f t="shared" ca="1" si="0"/>
        <v>59</v>
      </c>
      <c r="N22" t="str">
        <f t="shared" ca="1" si="1"/>
        <v>31 to 60</v>
      </c>
      <c r="O22">
        <f t="shared" si="2"/>
        <v>2212.4724000000001</v>
      </c>
      <c r="P22" t="str">
        <f t="shared" ca="1" si="3"/>
        <v>Slow Moving</v>
      </c>
    </row>
    <row r="23" spans="1:16" x14ac:dyDescent="0.3">
      <c r="A23" t="s">
        <v>59</v>
      </c>
      <c r="B23" t="s">
        <v>28</v>
      </c>
      <c r="C23" t="s">
        <v>41</v>
      </c>
      <c r="D23" t="s">
        <v>31</v>
      </c>
      <c r="E23">
        <v>5.5</v>
      </c>
      <c r="F23">
        <v>1</v>
      </c>
      <c r="G23" s="2">
        <v>45549</v>
      </c>
      <c r="H23" s="2">
        <v>45832</v>
      </c>
      <c r="I23">
        <v>2.85</v>
      </c>
      <c r="J23">
        <v>171.95</v>
      </c>
      <c r="K23" t="s">
        <v>20</v>
      </c>
      <c r="L23" t="s">
        <v>21</v>
      </c>
      <c r="M23">
        <f t="shared" ca="1" si="0"/>
        <v>412</v>
      </c>
      <c r="N23" t="str">
        <f t="shared" ca="1" si="1"/>
        <v>180 plus</v>
      </c>
      <c r="O23">
        <f t="shared" si="2"/>
        <v>187.625</v>
      </c>
      <c r="P23" t="str">
        <f t="shared" ca="1" si="3"/>
        <v>Unsold</v>
      </c>
    </row>
    <row r="24" spans="1:16" x14ac:dyDescent="0.3">
      <c r="A24" t="s">
        <v>60</v>
      </c>
      <c r="B24" t="s">
        <v>17</v>
      </c>
      <c r="C24" t="s">
        <v>18</v>
      </c>
      <c r="D24" t="s">
        <v>31</v>
      </c>
      <c r="E24">
        <v>3.7</v>
      </c>
      <c r="F24">
        <v>1</v>
      </c>
      <c r="G24" s="2">
        <v>45565</v>
      </c>
      <c r="H24" s="2">
        <v>45958</v>
      </c>
      <c r="I24">
        <v>151.1</v>
      </c>
      <c r="J24">
        <v>182.01</v>
      </c>
      <c r="K24" t="s">
        <v>20</v>
      </c>
      <c r="L24" t="s">
        <v>26</v>
      </c>
      <c r="M24">
        <f t="shared" ca="1" si="0"/>
        <v>396</v>
      </c>
      <c r="N24" t="str">
        <f t="shared" ca="1" si="1"/>
        <v>180 plus</v>
      </c>
      <c r="O24">
        <f t="shared" si="2"/>
        <v>741.08</v>
      </c>
      <c r="P24" t="str">
        <f t="shared" ca="1" si="3"/>
        <v>Active</v>
      </c>
    </row>
    <row r="25" spans="1:16" x14ac:dyDescent="0.3">
      <c r="A25" t="s">
        <v>61</v>
      </c>
      <c r="B25" t="s">
        <v>28</v>
      </c>
      <c r="C25" t="s">
        <v>29</v>
      </c>
      <c r="D25" t="s">
        <v>42</v>
      </c>
      <c r="E25">
        <v>49.48</v>
      </c>
      <c r="F25">
        <v>5</v>
      </c>
      <c r="G25" s="2">
        <v>45453</v>
      </c>
      <c r="H25" s="2">
        <v>45685</v>
      </c>
      <c r="I25">
        <v>3.98</v>
      </c>
      <c r="J25">
        <v>75.64</v>
      </c>
      <c r="K25" t="s">
        <v>20</v>
      </c>
      <c r="L25" t="s">
        <v>21</v>
      </c>
      <c r="M25">
        <f t="shared" ca="1" si="0"/>
        <v>508</v>
      </c>
      <c r="N25" t="str">
        <f t="shared" ca="1" si="1"/>
        <v>180 plus</v>
      </c>
      <c r="O25">
        <f t="shared" si="2"/>
        <v>272.57040000000001</v>
      </c>
      <c r="P25" t="str">
        <f t="shared" ca="1" si="3"/>
        <v>Unsold</v>
      </c>
    </row>
    <row r="26" spans="1:16" x14ac:dyDescent="0.3">
      <c r="A26" t="s">
        <v>62</v>
      </c>
      <c r="B26" t="s">
        <v>17</v>
      </c>
      <c r="C26" t="s">
        <v>18</v>
      </c>
      <c r="D26" t="s">
        <v>31</v>
      </c>
      <c r="E26">
        <v>3.03</v>
      </c>
      <c r="F26">
        <v>1</v>
      </c>
      <c r="G26" s="2">
        <v>45474</v>
      </c>
      <c r="H26" s="2">
        <v>45733</v>
      </c>
      <c r="I26">
        <v>151.69999999999999</v>
      </c>
      <c r="J26">
        <v>877.54</v>
      </c>
      <c r="K26" t="s">
        <v>20</v>
      </c>
      <c r="L26" t="s">
        <v>21</v>
      </c>
      <c r="M26">
        <f t="shared" ca="1" si="0"/>
        <v>487</v>
      </c>
      <c r="N26" t="str">
        <f t="shared" ca="1" si="1"/>
        <v>180 plus</v>
      </c>
      <c r="O26">
        <f t="shared" si="2"/>
        <v>1337.1909999999998</v>
      </c>
      <c r="P26" t="str">
        <f t="shared" ca="1" si="3"/>
        <v>Unsold</v>
      </c>
    </row>
    <row r="27" spans="1:16" x14ac:dyDescent="0.3">
      <c r="A27" t="s">
        <v>63</v>
      </c>
      <c r="B27" t="s">
        <v>17</v>
      </c>
      <c r="C27" t="s">
        <v>18</v>
      </c>
      <c r="D27" t="s">
        <v>31</v>
      </c>
      <c r="E27">
        <v>6.65</v>
      </c>
      <c r="F27">
        <v>1</v>
      </c>
      <c r="G27" s="2">
        <v>45915</v>
      </c>
      <c r="H27" s="2">
        <v>45927</v>
      </c>
      <c r="I27">
        <v>149.71</v>
      </c>
      <c r="J27">
        <v>181.45</v>
      </c>
      <c r="K27" t="s">
        <v>20</v>
      </c>
      <c r="L27" t="s">
        <v>21</v>
      </c>
      <c r="M27">
        <f t="shared" ca="1" si="0"/>
        <v>46</v>
      </c>
      <c r="N27" t="str">
        <f t="shared" ca="1" si="1"/>
        <v>31 to 60</v>
      </c>
      <c r="O27">
        <f t="shared" si="2"/>
        <v>1177.0215000000001</v>
      </c>
      <c r="P27" t="str">
        <f t="shared" ca="1" si="3"/>
        <v>Slow Moving</v>
      </c>
    </row>
    <row r="28" spans="1:16" x14ac:dyDescent="0.3">
      <c r="A28" t="s">
        <v>64</v>
      </c>
      <c r="B28" t="s">
        <v>28</v>
      </c>
      <c r="C28" t="s">
        <v>29</v>
      </c>
      <c r="D28" t="s">
        <v>31</v>
      </c>
      <c r="E28">
        <v>5.51</v>
      </c>
      <c r="F28">
        <v>1</v>
      </c>
      <c r="G28" s="2">
        <v>45835</v>
      </c>
      <c r="H28" s="2">
        <v>45952</v>
      </c>
      <c r="I28">
        <v>2.4700000000000002</v>
      </c>
      <c r="J28">
        <v>261.67</v>
      </c>
      <c r="K28" t="s">
        <v>20</v>
      </c>
      <c r="L28" t="s">
        <v>21</v>
      </c>
      <c r="M28">
        <f t="shared" ca="1" si="0"/>
        <v>126</v>
      </c>
      <c r="N28" t="str">
        <f t="shared" ca="1" si="1"/>
        <v>61 to 180</v>
      </c>
      <c r="O28">
        <f t="shared" si="2"/>
        <v>275.27969999999999</v>
      </c>
      <c r="P28" t="str">
        <f t="shared" ca="1" si="3"/>
        <v>Active</v>
      </c>
    </row>
    <row r="29" spans="1:16" x14ac:dyDescent="0.3">
      <c r="A29" t="s">
        <v>65</v>
      </c>
      <c r="B29" t="s">
        <v>17</v>
      </c>
      <c r="C29" t="s">
        <v>18</v>
      </c>
      <c r="D29" t="s">
        <v>54</v>
      </c>
      <c r="E29">
        <v>25.58</v>
      </c>
      <c r="F29">
        <v>1</v>
      </c>
      <c r="G29" s="2">
        <v>45311</v>
      </c>
      <c r="H29" s="2">
        <v>45425</v>
      </c>
      <c r="I29">
        <v>129.88999999999999</v>
      </c>
      <c r="J29">
        <v>169.91</v>
      </c>
      <c r="K29" t="s">
        <v>20</v>
      </c>
      <c r="L29" t="s">
        <v>34</v>
      </c>
      <c r="M29">
        <f t="shared" ca="1" si="0"/>
        <v>650</v>
      </c>
      <c r="N29" t="str">
        <f t="shared" ca="1" si="1"/>
        <v>180 plus</v>
      </c>
      <c r="O29">
        <f t="shared" si="2"/>
        <v>3492.4961999999991</v>
      </c>
      <c r="P29" t="str">
        <f t="shared" ca="1" si="3"/>
        <v>Unsold</v>
      </c>
    </row>
    <row r="30" spans="1:16" x14ac:dyDescent="0.3">
      <c r="A30" t="s">
        <v>66</v>
      </c>
      <c r="B30" t="s">
        <v>28</v>
      </c>
      <c r="C30" t="s">
        <v>29</v>
      </c>
      <c r="D30" t="s">
        <v>19</v>
      </c>
      <c r="E30">
        <v>5.8</v>
      </c>
      <c r="F30">
        <v>1</v>
      </c>
      <c r="G30" s="2">
        <v>45538</v>
      </c>
      <c r="H30" s="2">
        <v>45828</v>
      </c>
      <c r="I30">
        <v>2.95</v>
      </c>
      <c r="J30">
        <v>224.29</v>
      </c>
      <c r="K30" t="s">
        <v>20</v>
      </c>
      <c r="L30" t="s">
        <v>21</v>
      </c>
      <c r="M30">
        <f t="shared" ca="1" si="0"/>
        <v>423</v>
      </c>
      <c r="N30" t="str">
        <f t="shared" ca="1" si="1"/>
        <v>180 plus</v>
      </c>
      <c r="O30">
        <f t="shared" si="2"/>
        <v>241.39999999999998</v>
      </c>
      <c r="P30" t="str">
        <f t="shared" ca="1" si="3"/>
        <v>Unsold</v>
      </c>
    </row>
    <row r="31" spans="1:16" x14ac:dyDescent="0.3">
      <c r="A31" t="s">
        <v>67</v>
      </c>
      <c r="B31" t="s">
        <v>23</v>
      </c>
      <c r="C31" t="s">
        <v>24</v>
      </c>
      <c r="D31" t="s">
        <v>54</v>
      </c>
      <c r="E31">
        <v>33.04</v>
      </c>
      <c r="F31">
        <v>1</v>
      </c>
      <c r="G31" s="2">
        <v>45362</v>
      </c>
      <c r="H31" s="2">
        <v>45907</v>
      </c>
      <c r="I31">
        <v>270.49</v>
      </c>
      <c r="J31">
        <v>619.44000000000005</v>
      </c>
      <c r="K31" t="s">
        <v>20</v>
      </c>
      <c r="L31" t="s">
        <v>21</v>
      </c>
      <c r="M31">
        <f t="shared" ca="1" si="0"/>
        <v>599</v>
      </c>
      <c r="N31" t="str">
        <f t="shared" ca="1" si="1"/>
        <v>180 plus</v>
      </c>
      <c r="O31">
        <f t="shared" si="2"/>
        <v>9556.4296000000013</v>
      </c>
      <c r="P31" t="str">
        <f t="shared" ca="1" si="3"/>
        <v>Unsold</v>
      </c>
    </row>
    <row r="32" spans="1:16" x14ac:dyDescent="0.3">
      <c r="A32" t="s">
        <v>68</v>
      </c>
      <c r="B32" t="s">
        <v>23</v>
      </c>
      <c r="C32" t="s">
        <v>24</v>
      </c>
      <c r="D32" t="s">
        <v>54</v>
      </c>
      <c r="E32">
        <v>15.95</v>
      </c>
      <c r="F32">
        <v>1</v>
      </c>
      <c r="G32" s="2">
        <v>45854</v>
      </c>
      <c r="H32" s="2">
        <v>45875</v>
      </c>
      <c r="I32">
        <v>263.52999999999997</v>
      </c>
      <c r="J32">
        <v>936.86</v>
      </c>
      <c r="K32" t="s">
        <v>20</v>
      </c>
      <c r="L32" t="s">
        <v>34</v>
      </c>
      <c r="M32">
        <f t="shared" ca="1" si="0"/>
        <v>107</v>
      </c>
      <c r="N32" t="str">
        <f t="shared" ca="1" si="1"/>
        <v>61 to 180</v>
      </c>
      <c r="O32">
        <f t="shared" si="2"/>
        <v>5140.1634999999987</v>
      </c>
      <c r="P32" t="str">
        <f t="shared" ca="1" si="3"/>
        <v>Slow Moving</v>
      </c>
    </row>
    <row r="33" spans="1:16" x14ac:dyDescent="0.3">
      <c r="A33" t="s">
        <v>69</v>
      </c>
      <c r="B33" t="s">
        <v>17</v>
      </c>
      <c r="C33" t="s">
        <v>18</v>
      </c>
      <c r="D33" t="s">
        <v>33</v>
      </c>
      <c r="E33">
        <v>27.72</v>
      </c>
      <c r="F33">
        <v>1</v>
      </c>
      <c r="G33" s="2">
        <v>45844</v>
      </c>
      <c r="H33" s="2">
        <v>45940</v>
      </c>
      <c r="I33">
        <v>149.69</v>
      </c>
      <c r="J33">
        <v>643.17999999999995</v>
      </c>
      <c r="K33" t="s">
        <v>20</v>
      </c>
      <c r="L33" t="s">
        <v>26</v>
      </c>
      <c r="M33">
        <f t="shared" ca="1" si="0"/>
        <v>117</v>
      </c>
      <c r="N33" t="str">
        <f t="shared" ca="1" si="1"/>
        <v>61 to 180</v>
      </c>
      <c r="O33">
        <f t="shared" si="2"/>
        <v>4792.5868</v>
      </c>
      <c r="P33" t="str">
        <f t="shared" ca="1" si="3"/>
        <v>Active</v>
      </c>
    </row>
    <row r="34" spans="1:16" x14ac:dyDescent="0.3">
      <c r="A34" t="s">
        <v>70</v>
      </c>
      <c r="B34" t="s">
        <v>17</v>
      </c>
      <c r="C34" t="s">
        <v>18</v>
      </c>
      <c r="D34" t="s">
        <v>42</v>
      </c>
      <c r="E34">
        <v>12.84</v>
      </c>
      <c r="F34">
        <v>5</v>
      </c>
      <c r="G34" s="2">
        <v>45674</v>
      </c>
      <c r="H34" s="2">
        <v>45898</v>
      </c>
      <c r="I34">
        <v>134.24</v>
      </c>
      <c r="J34">
        <v>127.96</v>
      </c>
      <c r="K34" t="s">
        <v>20</v>
      </c>
      <c r="L34" t="s">
        <v>26</v>
      </c>
      <c r="M34">
        <f t="shared" ref="M34:M65" ca="1" si="4">TODAY()-G34</f>
        <v>287</v>
      </c>
      <c r="N34" t="str">
        <f t="shared" ref="N34:N65" ca="1" si="5">IF(M34&lt;=30,"0 to 30",IF(M34&lt;=60,"31 to 60",IF(M34&lt;=180,"61 to 180","180 plus")))</f>
        <v>180 plus</v>
      </c>
      <c r="O34">
        <f t="shared" ref="O34:O65" si="6">E34*I34+J34</f>
        <v>1851.6016000000002</v>
      </c>
      <c r="P34" t="str">
        <f t="shared" ref="P34:P65" ca="1" si="7">IF(TODAY()-H34&lt;=30,"Active",IF(M34&gt;180,"Unsold","Slow Moving"))</f>
        <v>Unsold</v>
      </c>
    </row>
    <row r="35" spans="1:16" x14ac:dyDescent="0.3">
      <c r="A35" t="s">
        <v>71</v>
      </c>
      <c r="B35" t="s">
        <v>28</v>
      </c>
      <c r="C35" t="s">
        <v>29</v>
      </c>
      <c r="D35" t="s">
        <v>33</v>
      </c>
      <c r="E35">
        <v>20.93</v>
      </c>
      <c r="F35">
        <v>1</v>
      </c>
      <c r="G35" s="2">
        <v>45522</v>
      </c>
      <c r="H35" s="2">
        <v>45554</v>
      </c>
      <c r="I35">
        <v>2.27</v>
      </c>
      <c r="J35">
        <v>198.19</v>
      </c>
      <c r="K35" t="s">
        <v>20</v>
      </c>
      <c r="L35" t="s">
        <v>34</v>
      </c>
      <c r="M35">
        <f t="shared" ca="1" si="4"/>
        <v>439</v>
      </c>
      <c r="N35" t="str">
        <f t="shared" ca="1" si="5"/>
        <v>180 plus</v>
      </c>
      <c r="O35">
        <f t="shared" si="6"/>
        <v>245.7011</v>
      </c>
      <c r="P35" t="str">
        <f t="shared" ca="1" si="7"/>
        <v>Unsold</v>
      </c>
    </row>
    <row r="36" spans="1:16" x14ac:dyDescent="0.3">
      <c r="A36" t="s">
        <v>72</v>
      </c>
      <c r="B36" t="s">
        <v>23</v>
      </c>
      <c r="C36" t="s">
        <v>24</v>
      </c>
      <c r="D36" t="s">
        <v>31</v>
      </c>
      <c r="E36">
        <v>3.57</v>
      </c>
      <c r="F36">
        <v>1</v>
      </c>
      <c r="G36" s="2">
        <v>45527</v>
      </c>
      <c r="H36" s="2">
        <v>45828</v>
      </c>
      <c r="I36">
        <v>255.34</v>
      </c>
      <c r="J36">
        <v>1098.32</v>
      </c>
      <c r="K36" t="s">
        <v>20</v>
      </c>
      <c r="L36" t="s">
        <v>21</v>
      </c>
      <c r="M36">
        <f t="shared" ca="1" si="4"/>
        <v>434</v>
      </c>
      <c r="N36" t="str">
        <f t="shared" ca="1" si="5"/>
        <v>180 plus</v>
      </c>
      <c r="O36">
        <f t="shared" si="6"/>
        <v>2009.8838000000001</v>
      </c>
      <c r="P36" t="str">
        <f t="shared" ca="1" si="7"/>
        <v>Unsold</v>
      </c>
    </row>
    <row r="37" spans="1:16" x14ac:dyDescent="0.3">
      <c r="A37" t="s">
        <v>73</v>
      </c>
      <c r="B37" t="s">
        <v>23</v>
      </c>
      <c r="C37" t="s">
        <v>36</v>
      </c>
      <c r="D37" t="s">
        <v>19</v>
      </c>
      <c r="E37">
        <v>5.24</v>
      </c>
      <c r="F37">
        <v>1</v>
      </c>
      <c r="G37" s="2">
        <v>45526</v>
      </c>
      <c r="H37" s="2">
        <v>45560</v>
      </c>
      <c r="I37">
        <v>251.42</v>
      </c>
      <c r="J37">
        <v>931.11</v>
      </c>
      <c r="K37" t="s">
        <v>20</v>
      </c>
      <c r="L37" t="s">
        <v>21</v>
      </c>
      <c r="M37">
        <f t="shared" ca="1" si="4"/>
        <v>435</v>
      </c>
      <c r="N37" t="str">
        <f t="shared" ca="1" si="5"/>
        <v>180 plus</v>
      </c>
      <c r="O37">
        <f t="shared" si="6"/>
        <v>2248.5508</v>
      </c>
      <c r="P37" t="str">
        <f t="shared" ca="1" si="7"/>
        <v>Unsold</v>
      </c>
    </row>
    <row r="38" spans="1:16" x14ac:dyDescent="0.3">
      <c r="A38" t="s">
        <v>74</v>
      </c>
      <c r="B38" t="s">
        <v>28</v>
      </c>
      <c r="C38" t="s">
        <v>29</v>
      </c>
      <c r="D38" t="s">
        <v>31</v>
      </c>
      <c r="E38">
        <v>4.5999999999999996</v>
      </c>
      <c r="F38">
        <v>1</v>
      </c>
      <c r="G38" s="2">
        <v>45535</v>
      </c>
      <c r="H38" s="2">
        <v>45677</v>
      </c>
      <c r="I38">
        <v>2.38</v>
      </c>
      <c r="J38">
        <v>101.13</v>
      </c>
      <c r="K38" t="s">
        <v>20</v>
      </c>
      <c r="L38" t="s">
        <v>26</v>
      </c>
      <c r="M38">
        <f t="shared" ca="1" si="4"/>
        <v>426</v>
      </c>
      <c r="N38" t="str">
        <f t="shared" ca="1" si="5"/>
        <v>180 plus</v>
      </c>
      <c r="O38">
        <f t="shared" si="6"/>
        <v>112.07799999999999</v>
      </c>
      <c r="P38" t="str">
        <f t="shared" ca="1" si="7"/>
        <v>Unsold</v>
      </c>
    </row>
    <row r="39" spans="1:16" x14ac:dyDescent="0.3">
      <c r="A39" t="s">
        <v>75</v>
      </c>
      <c r="B39" t="s">
        <v>28</v>
      </c>
      <c r="C39" t="s">
        <v>29</v>
      </c>
      <c r="D39" t="s">
        <v>31</v>
      </c>
      <c r="E39">
        <v>4.13</v>
      </c>
      <c r="F39">
        <v>1</v>
      </c>
      <c r="G39" s="2">
        <v>45427</v>
      </c>
      <c r="H39" s="2">
        <v>45911</v>
      </c>
      <c r="I39">
        <v>4.34</v>
      </c>
      <c r="J39">
        <v>246.27</v>
      </c>
      <c r="K39" t="s">
        <v>20</v>
      </c>
      <c r="L39" t="s">
        <v>21</v>
      </c>
      <c r="M39">
        <f t="shared" ca="1" si="4"/>
        <v>534</v>
      </c>
      <c r="N39" t="str">
        <f t="shared" ca="1" si="5"/>
        <v>180 plus</v>
      </c>
      <c r="O39">
        <f t="shared" si="6"/>
        <v>264.19420000000002</v>
      </c>
      <c r="P39" t="str">
        <f t="shared" ca="1" si="7"/>
        <v>Unsold</v>
      </c>
    </row>
    <row r="40" spans="1:16" x14ac:dyDescent="0.3">
      <c r="A40" t="s">
        <v>76</v>
      </c>
      <c r="B40" t="s">
        <v>28</v>
      </c>
      <c r="C40" t="s">
        <v>41</v>
      </c>
      <c r="D40" t="s">
        <v>33</v>
      </c>
      <c r="E40">
        <v>49.84</v>
      </c>
      <c r="F40">
        <v>1</v>
      </c>
      <c r="G40" s="2">
        <v>45388</v>
      </c>
      <c r="H40" s="2">
        <v>45487</v>
      </c>
      <c r="I40">
        <v>4.2</v>
      </c>
      <c r="J40">
        <v>245.03</v>
      </c>
      <c r="K40" t="s">
        <v>20</v>
      </c>
      <c r="L40" t="s">
        <v>26</v>
      </c>
      <c r="M40">
        <f t="shared" ca="1" si="4"/>
        <v>573</v>
      </c>
      <c r="N40" t="str">
        <f t="shared" ca="1" si="5"/>
        <v>180 plus</v>
      </c>
      <c r="O40">
        <f t="shared" si="6"/>
        <v>454.35800000000006</v>
      </c>
      <c r="P40" t="str">
        <f t="shared" ca="1" si="7"/>
        <v>Unsold</v>
      </c>
    </row>
    <row r="41" spans="1:16" x14ac:dyDescent="0.3">
      <c r="A41" t="s">
        <v>77</v>
      </c>
      <c r="B41" t="s">
        <v>28</v>
      </c>
      <c r="C41" t="s">
        <v>41</v>
      </c>
      <c r="D41" t="s">
        <v>37</v>
      </c>
      <c r="E41">
        <v>7.8</v>
      </c>
      <c r="F41">
        <v>1</v>
      </c>
      <c r="G41" s="2">
        <v>45712</v>
      </c>
      <c r="H41" s="2">
        <v>45831</v>
      </c>
      <c r="I41">
        <v>4.25</v>
      </c>
      <c r="J41">
        <v>171.02</v>
      </c>
      <c r="K41" t="s">
        <v>20</v>
      </c>
      <c r="L41" t="s">
        <v>26</v>
      </c>
      <c r="M41">
        <f t="shared" ca="1" si="4"/>
        <v>249</v>
      </c>
      <c r="N41" t="str">
        <f t="shared" ca="1" si="5"/>
        <v>180 plus</v>
      </c>
      <c r="O41">
        <f t="shared" si="6"/>
        <v>204.17000000000002</v>
      </c>
      <c r="P41" t="str">
        <f t="shared" ca="1" si="7"/>
        <v>Unsold</v>
      </c>
    </row>
    <row r="42" spans="1:16" x14ac:dyDescent="0.3">
      <c r="A42" t="s">
        <v>78</v>
      </c>
      <c r="B42" t="s">
        <v>23</v>
      </c>
      <c r="C42" t="s">
        <v>24</v>
      </c>
      <c r="D42" t="s">
        <v>25</v>
      </c>
      <c r="E42">
        <v>67.48</v>
      </c>
      <c r="F42">
        <v>1</v>
      </c>
      <c r="G42" s="2">
        <v>45354</v>
      </c>
      <c r="H42" s="2">
        <v>45766</v>
      </c>
      <c r="I42">
        <v>270.83999999999997</v>
      </c>
      <c r="J42">
        <v>449.8</v>
      </c>
      <c r="K42" t="s">
        <v>20</v>
      </c>
      <c r="L42" t="s">
        <v>26</v>
      </c>
      <c r="M42">
        <f t="shared" ca="1" si="4"/>
        <v>607</v>
      </c>
      <c r="N42" t="str">
        <f t="shared" ca="1" si="5"/>
        <v>180 plus</v>
      </c>
      <c r="O42">
        <f t="shared" si="6"/>
        <v>18726.083199999997</v>
      </c>
      <c r="P42" t="str">
        <f t="shared" ca="1" si="7"/>
        <v>Unsold</v>
      </c>
    </row>
    <row r="43" spans="1:16" x14ac:dyDescent="0.3">
      <c r="A43" t="s">
        <v>79</v>
      </c>
      <c r="B43" t="s">
        <v>28</v>
      </c>
      <c r="C43" t="s">
        <v>29</v>
      </c>
      <c r="D43" t="s">
        <v>33</v>
      </c>
      <c r="E43">
        <v>21.05</v>
      </c>
      <c r="F43">
        <v>1</v>
      </c>
      <c r="G43" s="2">
        <v>45488</v>
      </c>
      <c r="H43" s="2">
        <v>45585</v>
      </c>
      <c r="I43">
        <v>2.72</v>
      </c>
      <c r="J43">
        <v>139.59</v>
      </c>
      <c r="K43" t="s">
        <v>20</v>
      </c>
      <c r="L43" t="s">
        <v>26</v>
      </c>
      <c r="M43">
        <f t="shared" ca="1" si="4"/>
        <v>473</v>
      </c>
      <c r="N43" t="str">
        <f t="shared" ca="1" si="5"/>
        <v>180 plus</v>
      </c>
      <c r="O43">
        <f t="shared" si="6"/>
        <v>196.846</v>
      </c>
      <c r="P43" t="str">
        <f t="shared" ca="1" si="7"/>
        <v>Unsold</v>
      </c>
    </row>
    <row r="44" spans="1:16" x14ac:dyDescent="0.3">
      <c r="A44" t="s">
        <v>80</v>
      </c>
      <c r="B44" t="s">
        <v>28</v>
      </c>
      <c r="C44" t="s">
        <v>29</v>
      </c>
      <c r="D44" t="s">
        <v>37</v>
      </c>
      <c r="E44">
        <v>17.27</v>
      </c>
      <c r="F44">
        <v>1</v>
      </c>
      <c r="G44" s="2">
        <v>45479</v>
      </c>
      <c r="H44" s="2">
        <v>45621</v>
      </c>
      <c r="I44">
        <v>4.18</v>
      </c>
      <c r="J44">
        <v>21.95</v>
      </c>
      <c r="K44" t="s">
        <v>20</v>
      </c>
      <c r="L44" t="s">
        <v>34</v>
      </c>
      <c r="M44">
        <f t="shared" ca="1" si="4"/>
        <v>482</v>
      </c>
      <c r="N44" t="str">
        <f t="shared" ca="1" si="5"/>
        <v>180 plus</v>
      </c>
      <c r="O44">
        <f t="shared" si="6"/>
        <v>94.138599999999997</v>
      </c>
      <c r="P44" t="str">
        <f t="shared" ca="1" si="7"/>
        <v>Unsold</v>
      </c>
    </row>
    <row r="45" spans="1:16" x14ac:dyDescent="0.3">
      <c r="A45" t="s">
        <v>81</v>
      </c>
      <c r="B45" t="s">
        <v>23</v>
      </c>
      <c r="C45" t="s">
        <v>36</v>
      </c>
      <c r="D45" t="s">
        <v>54</v>
      </c>
      <c r="E45">
        <v>28.85</v>
      </c>
      <c r="F45">
        <v>1</v>
      </c>
      <c r="G45" s="2">
        <v>45855</v>
      </c>
      <c r="H45" s="2">
        <v>45867</v>
      </c>
      <c r="I45">
        <v>251.7</v>
      </c>
      <c r="J45">
        <v>344.32</v>
      </c>
      <c r="K45" t="s">
        <v>20</v>
      </c>
      <c r="L45" t="s">
        <v>21</v>
      </c>
      <c r="M45">
        <f t="shared" ca="1" si="4"/>
        <v>106</v>
      </c>
      <c r="N45" t="str">
        <f t="shared" ca="1" si="5"/>
        <v>61 to 180</v>
      </c>
      <c r="O45">
        <f t="shared" si="6"/>
        <v>7605.8649999999998</v>
      </c>
      <c r="P45" t="str">
        <f t="shared" ca="1" si="7"/>
        <v>Slow Moving</v>
      </c>
    </row>
    <row r="46" spans="1:16" x14ac:dyDescent="0.3">
      <c r="A46" t="s">
        <v>82</v>
      </c>
      <c r="B46" t="s">
        <v>17</v>
      </c>
      <c r="C46" t="s">
        <v>18</v>
      </c>
      <c r="D46" t="s">
        <v>25</v>
      </c>
      <c r="E46">
        <v>20.39</v>
      </c>
      <c r="F46">
        <v>1</v>
      </c>
      <c r="G46" s="2">
        <v>45534</v>
      </c>
      <c r="H46" s="2">
        <v>45619</v>
      </c>
      <c r="I46">
        <v>130.19</v>
      </c>
      <c r="J46">
        <v>1137.2</v>
      </c>
      <c r="K46" t="s">
        <v>20</v>
      </c>
      <c r="L46" t="s">
        <v>34</v>
      </c>
      <c r="M46">
        <f t="shared" ca="1" si="4"/>
        <v>427</v>
      </c>
      <c r="N46" t="str">
        <f t="shared" ca="1" si="5"/>
        <v>180 plus</v>
      </c>
      <c r="O46">
        <f t="shared" si="6"/>
        <v>3791.7740999999996</v>
      </c>
      <c r="P46" t="str">
        <f t="shared" ca="1" si="7"/>
        <v>Unsold</v>
      </c>
    </row>
    <row r="47" spans="1:16" x14ac:dyDescent="0.3">
      <c r="A47" t="s">
        <v>83</v>
      </c>
      <c r="B47" t="s">
        <v>28</v>
      </c>
      <c r="C47" t="s">
        <v>41</v>
      </c>
      <c r="D47" t="s">
        <v>33</v>
      </c>
      <c r="E47">
        <v>32.78</v>
      </c>
      <c r="F47">
        <v>1</v>
      </c>
      <c r="G47" s="2">
        <v>45702</v>
      </c>
      <c r="H47" s="2">
        <v>45732</v>
      </c>
      <c r="I47">
        <v>3.39</v>
      </c>
      <c r="J47">
        <v>216.85</v>
      </c>
      <c r="K47" t="s">
        <v>20</v>
      </c>
      <c r="L47" t="s">
        <v>21</v>
      </c>
      <c r="M47">
        <f t="shared" ca="1" si="4"/>
        <v>259</v>
      </c>
      <c r="N47" t="str">
        <f t="shared" ca="1" si="5"/>
        <v>180 plus</v>
      </c>
      <c r="O47">
        <f t="shared" si="6"/>
        <v>327.9742</v>
      </c>
      <c r="P47" t="str">
        <f t="shared" ca="1" si="7"/>
        <v>Unsold</v>
      </c>
    </row>
    <row r="48" spans="1:16" x14ac:dyDescent="0.3">
      <c r="A48" t="s">
        <v>84</v>
      </c>
      <c r="B48" t="s">
        <v>28</v>
      </c>
      <c r="C48" t="s">
        <v>29</v>
      </c>
      <c r="D48" t="s">
        <v>37</v>
      </c>
      <c r="E48">
        <v>10.45</v>
      </c>
      <c r="F48">
        <v>1</v>
      </c>
      <c r="G48" s="2">
        <v>45563</v>
      </c>
      <c r="H48" s="2">
        <v>45795</v>
      </c>
      <c r="I48">
        <v>4.4400000000000004</v>
      </c>
      <c r="J48">
        <v>289.49</v>
      </c>
      <c r="K48" t="s">
        <v>20</v>
      </c>
      <c r="L48" t="s">
        <v>34</v>
      </c>
      <c r="M48">
        <f t="shared" ca="1" si="4"/>
        <v>398</v>
      </c>
      <c r="N48" t="str">
        <f t="shared" ca="1" si="5"/>
        <v>180 plus</v>
      </c>
      <c r="O48">
        <f t="shared" si="6"/>
        <v>335.88800000000003</v>
      </c>
      <c r="P48" t="str">
        <f t="shared" ca="1" si="7"/>
        <v>Unsold</v>
      </c>
    </row>
    <row r="49" spans="1:16" x14ac:dyDescent="0.3">
      <c r="A49" t="s">
        <v>85</v>
      </c>
      <c r="B49" t="s">
        <v>28</v>
      </c>
      <c r="C49" t="s">
        <v>41</v>
      </c>
      <c r="D49" t="s">
        <v>47</v>
      </c>
      <c r="E49">
        <v>60.21</v>
      </c>
      <c r="F49">
        <v>1</v>
      </c>
      <c r="G49" s="2">
        <v>45486</v>
      </c>
      <c r="H49" s="2">
        <v>45637</v>
      </c>
      <c r="I49">
        <v>3.34</v>
      </c>
      <c r="J49">
        <v>104.25</v>
      </c>
      <c r="K49" t="s">
        <v>20</v>
      </c>
      <c r="L49" t="s">
        <v>21</v>
      </c>
      <c r="M49">
        <f t="shared" ca="1" si="4"/>
        <v>475</v>
      </c>
      <c r="N49" t="str">
        <f t="shared" ca="1" si="5"/>
        <v>180 plus</v>
      </c>
      <c r="O49">
        <f t="shared" si="6"/>
        <v>305.35140000000001</v>
      </c>
      <c r="P49" t="str">
        <f t="shared" ca="1" si="7"/>
        <v>Unsold</v>
      </c>
    </row>
    <row r="50" spans="1:16" x14ac:dyDescent="0.3">
      <c r="A50" t="s">
        <v>86</v>
      </c>
      <c r="B50" t="s">
        <v>23</v>
      </c>
      <c r="C50" t="s">
        <v>24</v>
      </c>
      <c r="D50" t="s">
        <v>31</v>
      </c>
      <c r="E50">
        <v>3.42</v>
      </c>
      <c r="F50">
        <v>1</v>
      </c>
      <c r="G50" s="2">
        <v>45354</v>
      </c>
      <c r="H50" s="2">
        <v>45675</v>
      </c>
      <c r="I50">
        <v>236.48</v>
      </c>
      <c r="J50">
        <v>770.52</v>
      </c>
      <c r="K50" t="s">
        <v>20</v>
      </c>
      <c r="L50" t="s">
        <v>21</v>
      </c>
      <c r="M50">
        <f t="shared" ca="1" si="4"/>
        <v>607</v>
      </c>
      <c r="N50" t="str">
        <f t="shared" ca="1" si="5"/>
        <v>180 plus</v>
      </c>
      <c r="O50">
        <f t="shared" si="6"/>
        <v>1579.2815999999998</v>
      </c>
      <c r="P50" t="str">
        <f t="shared" ca="1" si="7"/>
        <v>Unsold</v>
      </c>
    </row>
    <row r="51" spans="1:16" x14ac:dyDescent="0.3">
      <c r="A51" t="s">
        <v>87</v>
      </c>
      <c r="B51" t="s">
        <v>23</v>
      </c>
      <c r="C51" t="s">
        <v>24</v>
      </c>
      <c r="D51" t="s">
        <v>54</v>
      </c>
      <c r="E51">
        <v>28.59</v>
      </c>
      <c r="F51">
        <v>1</v>
      </c>
      <c r="G51" s="2">
        <v>45806</v>
      </c>
      <c r="H51" s="2">
        <v>45941</v>
      </c>
      <c r="I51">
        <v>237.06</v>
      </c>
      <c r="J51">
        <v>406.51</v>
      </c>
      <c r="K51" t="s">
        <v>20</v>
      </c>
      <c r="L51" t="s">
        <v>21</v>
      </c>
      <c r="M51">
        <f t="shared" ca="1" si="4"/>
        <v>155</v>
      </c>
      <c r="N51" t="str">
        <f t="shared" ca="1" si="5"/>
        <v>61 to 180</v>
      </c>
      <c r="O51">
        <f t="shared" si="6"/>
        <v>7184.0554000000002</v>
      </c>
      <c r="P51" t="str">
        <f t="shared" ca="1" si="7"/>
        <v>Active</v>
      </c>
    </row>
    <row r="52" spans="1:16" x14ac:dyDescent="0.3">
      <c r="A52" t="s">
        <v>88</v>
      </c>
      <c r="B52" t="s">
        <v>23</v>
      </c>
      <c r="C52" t="s">
        <v>24</v>
      </c>
      <c r="D52" t="s">
        <v>25</v>
      </c>
      <c r="E52">
        <v>74.040000000000006</v>
      </c>
      <c r="F52">
        <v>1</v>
      </c>
      <c r="G52" s="2">
        <v>45482</v>
      </c>
      <c r="H52" s="2">
        <v>45517</v>
      </c>
      <c r="I52">
        <v>244.58</v>
      </c>
      <c r="J52">
        <v>259.38</v>
      </c>
      <c r="K52" t="s">
        <v>20</v>
      </c>
      <c r="L52" t="s">
        <v>26</v>
      </c>
      <c r="M52">
        <f t="shared" ca="1" si="4"/>
        <v>479</v>
      </c>
      <c r="N52" t="str">
        <f t="shared" ca="1" si="5"/>
        <v>180 plus</v>
      </c>
      <c r="O52">
        <f t="shared" si="6"/>
        <v>18368.083200000005</v>
      </c>
      <c r="P52" t="str">
        <f t="shared" ca="1" si="7"/>
        <v>Unsold</v>
      </c>
    </row>
    <row r="53" spans="1:16" x14ac:dyDescent="0.3">
      <c r="A53" t="s">
        <v>89</v>
      </c>
      <c r="B53" t="s">
        <v>23</v>
      </c>
      <c r="C53" t="s">
        <v>24</v>
      </c>
      <c r="D53" t="s">
        <v>33</v>
      </c>
      <c r="E53">
        <v>24.68</v>
      </c>
      <c r="F53">
        <v>1</v>
      </c>
      <c r="G53" s="2">
        <v>45705</v>
      </c>
      <c r="H53" s="2">
        <v>45766</v>
      </c>
      <c r="I53">
        <v>274.43</v>
      </c>
      <c r="J53">
        <v>366.26</v>
      </c>
      <c r="K53" t="s">
        <v>20</v>
      </c>
      <c r="L53" t="s">
        <v>26</v>
      </c>
      <c r="M53">
        <f t="shared" ca="1" si="4"/>
        <v>256</v>
      </c>
      <c r="N53" t="str">
        <f t="shared" ca="1" si="5"/>
        <v>180 plus</v>
      </c>
      <c r="O53">
        <f t="shared" si="6"/>
        <v>7139.1923999999999</v>
      </c>
      <c r="P53" t="str">
        <f t="shared" ca="1" si="7"/>
        <v>Unsold</v>
      </c>
    </row>
    <row r="54" spans="1:16" x14ac:dyDescent="0.3">
      <c r="A54" t="s">
        <v>90</v>
      </c>
      <c r="B54" t="s">
        <v>23</v>
      </c>
      <c r="C54" t="s">
        <v>24</v>
      </c>
      <c r="D54" t="s">
        <v>19</v>
      </c>
      <c r="E54">
        <v>9.0500000000000007</v>
      </c>
      <c r="F54">
        <v>1</v>
      </c>
      <c r="G54" s="2">
        <v>45926</v>
      </c>
      <c r="H54" s="2">
        <v>45931</v>
      </c>
      <c r="I54">
        <v>265.45999999999998</v>
      </c>
      <c r="J54">
        <v>361.4</v>
      </c>
      <c r="K54" t="s">
        <v>20</v>
      </c>
      <c r="L54" t="s">
        <v>34</v>
      </c>
      <c r="M54">
        <f t="shared" ca="1" si="4"/>
        <v>35</v>
      </c>
      <c r="N54" t="str">
        <f t="shared" ca="1" si="5"/>
        <v>31 to 60</v>
      </c>
      <c r="O54">
        <f t="shared" si="6"/>
        <v>2763.8130000000001</v>
      </c>
      <c r="P54" t="str">
        <f t="shared" ca="1" si="7"/>
        <v>Active</v>
      </c>
    </row>
    <row r="55" spans="1:16" x14ac:dyDescent="0.3">
      <c r="A55" t="s">
        <v>91</v>
      </c>
      <c r="B55" t="s">
        <v>17</v>
      </c>
      <c r="C55" t="s">
        <v>18</v>
      </c>
      <c r="D55" t="s">
        <v>42</v>
      </c>
      <c r="E55">
        <v>15.92</v>
      </c>
      <c r="F55">
        <v>2</v>
      </c>
      <c r="G55" s="2">
        <v>45613</v>
      </c>
      <c r="H55" s="2">
        <v>45735</v>
      </c>
      <c r="I55">
        <v>131.55000000000001</v>
      </c>
      <c r="J55">
        <v>795.54</v>
      </c>
      <c r="K55" t="s">
        <v>20</v>
      </c>
      <c r="L55" t="s">
        <v>34</v>
      </c>
      <c r="M55">
        <f t="shared" ca="1" si="4"/>
        <v>348</v>
      </c>
      <c r="N55" t="str">
        <f t="shared" ca="1" si="5"/>
        <v>180 plus</v>
      </c>
      <c r="O55">
        <f t="shared" si="6"/>
        <v>2889.8160000000003</v>
      </c>
      <c r="P55" t="str">
        <f t="shared" ca="1" si="7"/>
        <v>Unsold</v>
      </c>
    </row>
    <row r="56" spans="1:16" x14ac:dyDescent="0.3">
      <c r="A56" t="s">
        <v>92</v>
      </c>
      <c r="B56" t="s">
        <v>28</v>
      </c>
      <c r="C56" t="s">
        <v>29</v>
      </c>
      <c r="D56" t="s">
        <v>42</v>
      </c>
      <c r="E56">
        <v>35.340000000000003</v>
      </c>
      <c r="F56">
        <v>5</v>
      </c>
      <c r="G56" s="2">
        <v>45615</v>
      </c>
      <c r="H56" s="2">
        <v>45652</v>
      </c>
      <c r="I56">
        <v>3.43</v>
      </c>
      <c r="J56">
        <v>45.28</v>
      </c>
      <c r="K56" t="s">
        <v>20</v>
      </c>
      <c r="L56" t="s">
        <v>21</v>
      </c>
      <c r="M56">
        <f t="shared" ca="1" si="4"/>
        <v>346</v>
      </c>
      <c r="N56" t="str">
        <f t="shared" ca="1" si="5"/>
        <v>180 plus</v>
      </c>
      <c r="O56">
        <f t="shared" si="6"/>
        <v>166.49620000000002</v>
      </c>
      <c r="P56" t="str">
        <f t="shared" ca="1" si="7"/>
        <v>Unsold</v>
      </c>
    </row>
    <row r="57" spans="1:16" x14ac:dyDescent="0.3">
      <c r="A57" t="s">
        <v>93</v>
      </c>
      <c r="B57" t="s">
        <v>28</v>
      </c>
      <c r="C57" t="s">
        <v>29</v>
      </c>
      <c r="D57" t="s">
        <v>25</v>
      </c>
      <c r="E57">
        <v>103.53</v>
      </c>
      <c r="F57">
        <v>1</v>
      </c>
      <c r="G57" s="2">
        <v>45842</v>
      </c>
      <c r="H57" s="2">
        <v>45869</v>
      </c>
      <c r="I57">
        <v>2.94</v>
      </c>
      <c r="J57">
        <v>72.23</v>
      </c>
      <c r="K57" t="s">
        <v>20</v>
      </c>
      <c r="L57" t="s">
        <v>26</v>
      </c>
      <c r="M57">
        <f t="shared" ca="1" si="4"/>
        <v>119</v>
      </c>
      <c r="N57" t="str">
        <f t="shared" ca="1" si="5"/>
        <v>61 to 180</v>
      </c>
      <c r="O57">
        <f t="shared" si="6"/>
        <v>376.60820000000001</v>
      </c>
      <c r="P57" t="str">
        <f t="shared" ca="1" si="7"/>
        <v>Slow Moving</v>
      </c>
    </row>
    <row r="58" spans="1:16" x14ac:dyDescent="0.3">
      <c r="A58" t="s">
        <v>94</v>
      </c>
      <c r="B58" t="s">
        <v>28</v>
      </c>
      <c r="C58" t="s">
        <v>29</v>
      </c>
      <c r="D58" t="s">
        <v>51</v>
      </c>
      <c r="E58">
        <v>68.349999999999994</v>
      </c>
      <c r="F58">
        <v>1</v>
      </c>
      <c r="G58" s="2">
        <v>45542</v>
      </c>
      <c r="H58" s="2">
        <v>45731</v>
      </c>
      <c r="I58">
        <v>3.56</v>
      </c>
      <c r="J58">
        <v>209.72</v>
      </c>
      <c r="K58" t="s">
        <v>20</v>
      </c>
      <c r="L58" t="s">
        <v>34</v>
      </c>
      <c r="M58">
        <f t="shared" ca="1" si="4"/>
        <v>419</v>
      </c>
      <c r="N58" t="str">
        <f t="shared" ca="1" si="5"/>
        <v>180 plus</v>
      </c>
      <c r="O58">
        <f t="shared" si="6"/>
        <v>453.04599999999999</v>
      </c>
      <c r="P58" t="str">
        <f t="shared" ca="1" si="7"/>
        <v>Unsold</v>
      </c>
    </row>
    <row r="59" spans="1:16" x14ac:dyDescent="0.3">
      <c r="A59" t="s">
        <v>95</v>
      </c>
      <c r="B59" t="s">
        <v>23</v>
      </c>
      <c r="C59" t="s">
        <v>39</v>
      </c>
      <c r="D59" t="s">
        <v>31</v>
      </c>
      <c r="E59">
        <v>2.08</v>
      </c>
      <c r="F59">
        <v>1</v>
      </c>
      <c r="G59" s="2">
        <v>45601</v>
      </c>
      <c r="H59" s="2">
        <v>45914</v>
      </c>
      <c r="I59">
        <v>255.48</v>
      </c>
      <c r="J59">
        <v>349.15</v>
      </c>
      <c r="K59" t="s">
        <v>20</v>
      </c>
      <c r="L59" t="s">
        <v>26</v>
      </c>
      <c r="M59">
        <f t="shared" ca="1" si="4"/>
        <v>360</v>
      </c>
      <c r="N59" t="str">
        <f t="shared" ca="1" si="5"/>
        <v>180 plus</v>
      </c>
      <c r="O59">
        <f t="shared" si="6"/>
        <v>880.54840000000002</v>
      </c>
      <c r="P59" t="str">
        <f t="shared" ca="1" si="7"/>
        <v>Unsold</v>
      </c>
    </row>
    <row r="60" spans="1:16" x14ac:dyDescent="0.3">
      <c r="A60" t="s">
        <v>96</v>
      </c>
      <c r="B60" t="s">
        <v>17</v>
      </c>
      <c r="C60" t="s">
        <v>18</v>
      </c>
      <c r="D60" t="s">
        <v>31</v>
      </c>
      <c r="E60">
        <v>6.23</v>
      </c>
      <c r="F60">
        <v>1</v>
      </c>
      <c r="G60" s="2">
        <v>45598</v>
      </c>
      <c r="H60" s="2">
        <v>45937</v>
      </c>
      <c r="I60">
        <v>122.85</v>
      </c>
      <c r="J60">
        <v>860.03</v>
      </c>
      <c r="K60" t="s">
        <v>20</v>
      </c>
      <c r="L60" t="s">
        <v>21</v>
      </c>
      <c r="M60">
        <f t="shared" ca="1" si="4"/>
        <v>363</v>
      </c>
      <c r="N60" t="str">
        <f t="shared" ca="1" si="5"/>
        <v>180 plus</v>
      </c>
      <c r="O60">
        <f t="shared" si="6"/>
        <v>1625.3854999999999</v>
      </c>
      <c r="P60" t="str">
        <f t="shared" ca="1" si="7"/>
        <v>Active</v>
      </c>
    </row>
    <row r="61" spans="1:16" x14ac:dyDescent="0.3">
      <c r="A61" t="s">
        <v>97</v>
      </c>
      <c r="B61" t="s">
        <v>23</v>
      </c>
      <c r="C61" t="s">
        <v>39</v>
      </c>
      <c r="D61" t="s">
        <v>25</v>
      </c>
      <c r="E61">
        <v>40.14</v>
      </c>
      <c r="F61">
        <v>1</v>
      </c>
      <c r="G61" s="2">
        <v>45401</v>
      </c>
      <c r="H61" s="2">
        <v>45560</v>
      </c>
      <c r="I61">
        <v>272.47000000000003</v>
      </c>
      <c r="J61">
        <v>251.27</v>
      </c>
      <c r="K61" t="s">
        <v>20</v>
      </c>
      <c r="L61" t="s">
        <v>34</v>
      </c>
      <c r="M61">
        <f t="shared" ca="1" si="4"/>
        <v>560</v>
      </c>
      <c r="N61" t="str">
        <f t="shared" ca="1" si="5"/>
        <v>180 plus</v>
      </c>
      <c r="O61">
        <f t="shared" si="6"/>
        <v>11188.215800000002</v>
      </c>
      <c r="P61" t="str">
        <f t="shared" ca="1" si="7"/>
        <v>Unsold</v>
      </c>
    </row>
    <row r="62" spans="1:16" x14ac:dyDescent="0.3">
      <c r="A62" t="s">
        <v>98</v>
      </c>
      <c r="B62" t="s">
        <v>28</v>
      </c>
      <c r="C62" t="s">
        <v>29</v>
      </c>
      <c r="D62" t="s">
        <v>51</v>
      </c>
      <c r="E62">
        <v>203.48</v>
      </c>
      <c r="F62">
        <v>2</v>
      </c>
      <c r="G62" s="2">
        <v>45941</v>
      </c>
      <c r="H62" s="2">
        <v>45949</v>
      </c>
      <c r="I62">
        <v>2.46</v>
      </c>
      <c r="J62">
        <v>278.91000000000003</v>
      </c>
      <c r="K62" t="s">
        <v>20</v>
      </c>
      <c r="L62" t="s">
        <v>26</v>
      </c>
      <c r="M62">
        <f t="shared" ca="1" si="4"/>
        <v>20</v>
      </c>
      <c r="N62" t="str">
        <f t="shared" ca="1" si="5"/>
        <v>0 to 30</v>
      </c>
      <c r="O62">
        <f t="shared" si="6"/>
        <v>779.47080000000005</v>
      </c>
      <c r="P62" t="str">
        <f t="shared" ca="1" si="7"/>
        <v>Active</v>
      </c>
    </row>
    <row r="63" spans="1:16" x14ac:dyDescent="0.3">
      <c r="A63" t="s">
        <v>99</v>
      </c>
      <c r="B63" t="s">
        <v>28</v>
      </c>
      <c r="C63" t="s">
        <v>41</v>
      </c>
      <c r="D63" t="s">
        <v>19</v>
      </c>
      <c r="E63">
        <v>10.9</v>
      </c>
      <c r="F63">
        <v>1</v>
      </c>
      <c r="G63" s="2">
        <v>45386</v>
      </c>
      <c r="H63" s="2">
        <v>45819</v>
      </c>
      <c r="I63">
        <v>2.79</v>
      </c>
      <c r="J63">
        <v>204.8</v>
      </c>
      <c r="K63" t="s">
        <v>20</v>
      </c>
      <c r="L63" t="s">
        <v>34</v>
      </c>
      <c r="M63">
        <f t="shared" ca="1" si="4"/>
        <v>575</v>
      </c>
      <c r="N63" t="str">
        <f t="shared" ca="1" si="5"/>
        <v>180 plus</v>
      </c>
      <c r="O63">
        <f t="shared" si="6"/>
        <v>235.21100000000001</v>
      </c>
      <c r="P63" t="str">
        <f t="shared" ca="1" si="7"/>
        <v>Unsold</v>
      </c>
    </row>
    <row r="64" spans="1:16" x14ac:dyDescent="0.3">
      <c r="A64" t="s">
        <v>100</v>
      </c>
      <c r="B64" t="s">
        <v>23</v>
      </c>
      <c r="C64" t="s">
        <v>36</v>
      </c>
      <c r="D64" t="s">
        <v>51</v>
      </c>
      <c r="E64">
        <v>85.38</v>
      </c>
      <c r="F64">
        <v>2</v>
      </c>
      <c r="G64" s="2">
        <v>45944</v>
      </c>
      <c r="H64" s="2">
        <v>45952</v>
      </c>
      <c r="I64">
        <v>257.20999999999998</v>
      </c>
      <c r="J64">
        <v>682.62</v>
      </c>
      <c r="K64" t="s">
        <v>20</v>
      </c>
      <c r="L64" t="s">
        <v>21</v>
      </c>
      <c r="M64">
        <f t="shared" ca="1" si="4"/>
        <v>17</v>
      </c>
      <c r="N64" t="str">
        <f t="shared" ca="1" si="5"/>
        <v>0 to 30</v>
      </c>
      <c r="O64">
        <f t="shared" si="6"/>
        <v>22643.209799999997</v>
      </c>
      <c r="P64" t="str">
        <f t="shared" ca="1" si="7"/>
        <v>Active</v>
      </c>
    </row>
    <row r="65" spans="1:16" x14ac:dyDescent="0.3">
      <c r="A65" t="s">
        <v>101</v>
      </c>
      <c r="B65" t="s">
        <v>17</v>
      </c>
      <c r="C65" t="s">
        <v>18</v>
      </c>
      <c r="D65" t="s">
        <v>31</v>
      </c>
      <c r="E65">
        <v>4.21</v>
      </c>
      <c r="F65">
        <v>1</v>
      </c>
      <c r="G65" s="2">
        <v>45729</v>
      </c>
      <c r="H65" s="2">
        <v>45872</v>
      </c>
      <c r="I65">
        <v>119.19</v>
      </c>
      <c r="J65">
        <v>1086.94</v>
      </c>
      <c r="K65" t="s">
        <v>20</v>
      </c>
      <c r="L65" t="s">
        <v>21</v>
      </c>
      <c r="M65">
        <f t="shared" ca="1" si="4"/>
        <v>232</v>
      </c>
      <c r="N65" t="str">
        <f t="shared" ca="1" si="5"/>
        <v>180 plus</v>
      </c>
      <c r="O65">
        <f t="shared" si="6"/>
        <v>1588.7299</v>
      </c>
      <c r="P65" t="str">
        <f t="shared" ca="1" si="7"/>
        <v>Unsold</v>
      </c>
    </row>
    <row r="66" spans="1:16" x14ac:dyDescent="0.3">
      <c r="A66" t="s">
        <v>102</v>
      </c>
      <c r="B66" t="s">
        <v>23</v>
      </c>
      <c r="C66" t="s">
        <v>36</v>
      </c>
      <c r="D66" t="s">
        <v>47</v>
      </c>
      <c r="E66">
        <v>92.03</v>
      </c>
      <c r="F66">
        <v>1</v>
      </c>
      <c r="G66" s="2">
        <v>45850</v>
      </c>
      <c r="H66" s="2">
        <v>45854</v>
      </c>
      <c r="I66">
        <v>260.32</v>
      </c>
      <c r="J66">
        <v>472.93</v>
      </c>
      <c r="K66" t="s">
        <v>20</v>
      </c>
      <c r="L66" t="s">
        <v>34</v>
      </c>
      <c r="M66">
        <f t="shared" ref="M66:M101" ca="1" si="8">TODAY()-G66</f>
        <v>111</v>
      </c>
      <c r="N66" t="str">
        <f t="shared" ref="N66:N97" ca="1" si="9">IF(M66&lt;=30,"0 to 30",IF(M66&lt;=60,"31 to 60",IF(M66&lt;=180,"61 to 180","180 plus")))</f>
        <v>61 to 180</v>
      </c>
      <c r="O66">
        <f t="shared" ref="O66:O101" si="10">E66*I66+J66</f>
        <v>24430.179599999999</v>
      </c>
      <c r="P66" t="str">
        <f t="shared" ref="P66:P101" ca="1" si="11">IF(TODAY()-H66&lt;=30,"Active",IF(M66&gt;180,"Unsold","Slow Moving"))</f>
        <v>Slow Moving</v>
      </c>
    </row>
    <row r="67" spans="1:16" x14ac:dyDescent="0.3">
      <c r="A67" t="s">
        <v>103</v>
      </c>
      <c r="B67" t="s">
        <v>17</v>
      </c>
      <c r="C67" t="s">
        <v>18</v>
      </c>
      <c r="D67" t="s">
        <v>37</v>
      </c>
      <c r="E67">
        <v>8.89</v>
      </c>
      <c r="F67">
        <v>1</v>
      </c>
      <c r="G67" s="2">
        <v>45422</v>
      </c>
      <c r="H67" s="2">
        <v>45464</v>
      </c>
      <c r="I67">
        <v>147.66999999999999</v>
      </c>
      <c r="J67">
        <v>1086.82</v>
      </c>
      <c r="K67" t="s">
        <v>20</v>
      </c>
      <c r="L67" t="s">
        <v>34</v>
      </c>
      <c r="M67">
        <f t="shared" ca="1" si="8"/>
        <v>539</v>
      </c>
      <c r="N67" t="str">
        <f t="shared" ca="1" si="9"/>
        <v>180 plus</v>
      </c>
      <c r="O67">
        <f t="shared" si="10"/>
        <v>2399.6062999999999</v>
      </c>
      <c r="P67" t="str">
        <f t="shared" ca="1" si="11"/>
        <v>Unsold</v>
      </c>
    </row>
    <row r="68" spans="1:16" x14ac:dyDescent="0.3">
      <c r="A68" t="s">
        <v>104</v>
      </c>
      <c r="B68" t="s">
        <v>28</v>
      </c>
      <c r="C68" t="s">
        <v>29</v>
      </c>
      <c r="D68" t="s">
        <v>51</v>
      </c>
      <c r="E68">
        <v>449.19</v>
      </c>
      <c r="F68">
        <v>2</v>
      </c>
      <c r="G68" s="2">
        <v>45547</v>
      </c>
      <c r="H68" s="2">
        <v>45888</v>
      </c>
      <c r="I68">
        <v>3.99</v>
      </c>
      <c r="J68">
        <v>199.77</v>
      </c>
      <c r="K68" t="s">
        <v>20</v>
      </c>
      <c r="L68" t="s">
        <v>21</v>
      </c>
      <c r="M68">
        <f t="shared" ca="1" si="8"/>
        <v>414</v>
      </c>
      <c r="N68" t="str">
        <f t="shared" ca="1" si="9"/>
        <v>180 plus</v>
      </c>
      <c r="O68">
        <f t="shared" si="10"/>
        <v>1992.0381</v>
      </c>
      <c r="P68" t="str">
        <f t="shared" ca="1" si="11"/>
        <v>Unsold</v>
      </c>
    </row>
    <row r="69" spans="1:16" x14ac:dyDescent="0.3">
      <c r="A69" t="s">
        <v>105</v>
      </c>
      <c r="B69" t="s">
        <v>28</v>
      </c>
      <c r="C69" t="s">
        <v>41</v>
      </c>
      <c r="D69" t="s">
        <v>47</v>
      </c>
      <c r="E69">
        <v>40.1</v>
      </c>
      <c r="F69">
        <v>1</v>
      </c>
      <c r="G69" s="2">
        <v>45534</v>
      </c>
      <c r="H69" s="2">
        <v>45617</v>
      </c>
      <c r="I69">
        <v>2.57</v>
      </c>
      <c r="J69">
        <v>271.60000000000002</v>
      </c>
      <c r="K69" t="s">
        <v>20</v>
      </c>
      <c r="L69" t="s">
        <v>21</v>
      </c>
      <c r="M69">
        <f t="shared" ca="1" si="8"/>
        <v>427</v>
      </c>
      <c r="N69" t="str">
        <f t="shared" ca="1" si="9"/>
        <v>180 plus</v>
      </c>
      <c r="O69">
        <f t="shared" si="10"/>
        <v>374.65700000000004</v>
      </c>
      <c r="P69" t="str">
        <f t="shared" ca="1" si="11"/>
        <v>Unsold</v>
      </c>
    </row>
    <row r="70" spans="1:16" x14ac:dyDescent="0.3">
      <c r="A70" t="s">
        <v>106</v>
      </c>
      <c r="B70" t="s">
        <v>28</v>
      </c>
      <c r="C70" t="s">
        <v>29</v>
      </c>
      <c r="D70" t="s">
        <v>47</v>
      </c>
      <c r="E70">
        <v>102.77</v>
      </c>
      <c r="F70">
        <v>1</v>
      </c>
      <c r="G70" s="2">
        <v>45632</v>
      </c>
      <c r="H70" s="2">
        <v>45842</v>
      </c>
      <c r="I70">
        <v>2.2200000000000002</v>
      </c>
      <c r="J70">
        <v>48.41</v>
      </c>
      <c r="K70" t="s">
        <v>20</v>
      </c>
      <c r="L70" t="s">
        <v>26</v>
      </c>
      <c r="M70">
        <f t="shared" ca="1" si="8"/>
        <v>329</v>
      </c>
      <c r="N70" t="str">
        <f t="shared" ca="1" si="9"/>
        <v>180 plus</v>
      </c>
      <c r="O70">
        <f t="shared" si="10"/>
        <v>276.55939999999998</v>
      </c>
      <c r="P70" t="str">
        <f t="shared" ca="1" si="11"/>
        <v>Unsold</v>
      </c>
    </row>
    <row r="71" spans="1:16" x14ac:dyDescent="0.3">
      <c r="A71" t="s">
        <v>107</v>
      </c>
      <c r="B71" t="s">
        <v>17</v>
      </c>
      <c r="C71" t="s">
        <v>18</v>
      </c>
      <c r="D71" t="s">
        <v>42</v>
      </c>
      <c r="E71">
        <v>14.95</v>
      </c>
      <c r="F71">
        <v>2</v>
      </c>
      <c r="G71" s="2">
        <v>45402</v>
      </c>
      <c r="H71" s="2">
        <v>45793</v>
      </c>
      <c r="I71">
        <v>115.23</v>
      </c>
      <c r="J71">
        <v>276.89</v>
      </c>
      <c r="K71" t="s">
        <v>20</v>
      </c>
      <c r="L71" t="s">
        <v>21</v>
      </c>
      <c r="M71">
        <f t="shared" ca="1" si="8"/>
        <v>559</v>
      </c>
      <c r="N71" t="str">
        <f t="shared" ca="1" si="9"/>
        <v>180 plus</v>
      </c>
      <c r="O71">
        <f t="shared" si="10"/>
        <v>1999.5785000000001</v>
      </c>
      <c r="P71" t="str">
        <f t="shared" ca="1" si="11"/>
        <v>Unsold</v>
      </c>
    </row>
    <row r="72" spans="1:16" x14ac:dyDescent="0.3">
      <c r="A72" t="s">
        <v>108</v>
      </c>
      <c r="B72" t="s">
        <v>28</v>
      </c>
      <c r="C72" t="s">
        <v>29</v>
      </c>
      <c r="D72" t="s">
        <v>33</v>
      </c>
      <c r="E72">
        <v>45.18</v>
      </c>
      <c r="F72">
        <v>1</v>
      </c>
      <c r="G72" s="2">
        <v>45763</v>
      </c>
      <c r="H72" s="2">
        <v>45852</v>
      </c>
      <c r="I72">
        <v>3.79</v>
      </c>
      <c r="J72">
        <v>202.55</v>
      </c>
      <c r="K72" t="s">
        <v>20</v>
      </c>
      <c r="L72" t="s">
        <v>34</v>
      </c>
      <c r="M72">
        <f t="shared" ca="1" si="8"/>
        <v>198</v>
      </c>
      <c r="N72" t="str">
        <f t="shared" ca="1" si="9"/>
        <v>180 plus</v>
      </c>
      <c r="O72">
        <f t="shared" si="10"/>
        <v>373.78219999999999</v>
      </c>
      <c r="P72" t="str">
        <f t="shared" ca="1" si="11"/>
        <v>Unsold</v>
      </c>
    </row>
    <row r="73" spans="1:16" x14ac:dyDescent="0.3">
      <c r="A73" t="s">
        <v>109</v>
      </c>
      <c r="B73" t="s">
        <v>23</v>
      </c>
      <c r="C73" t="s">
        <v>36</v>
      </c>
      <c r="D73" t="s">
        <v>19</v>
      </c>
      <c r="E73">
        <v>5.0199999999999996</v>
      </c>
      <c r="F73">
        <v>1</v>
      </c>
      <c r="G73" s="2">
        <v>45489</v>
      </c>
      <c r="H73" s="2">
        <v>45693</v>
      </c>
      <c r="I73">
        <v>263.49</v>
      </c>
      <c r="J73">
        <v>360.97</v>
      </c>
      <c r="K73" t="s">
        <v>20</v>
      </c>
      <c r="L73" t="s">
        <v>34</v>
      </c>
      <c r="M73">
        <f t="shared" ca="1" si="8"/>
        <v>472</v>
      </c>
      <c r="N73" t="str">
        <f t="shared" ca="1" si="9"/>
        <v>180 plus</v>
      </c>
      <c r="O73">
        <f t="shared" si="10"/>
        <v>1683.6897999999999</v>
      </c>
      <c r="P73" t="str">
        <f t="shared" ca="1" si="11"/>
        <v>Unsold</v>
      </c>
    </row>
    <row r="74" spans="1:16" x14ac:dyDescent="0.3">
      <c r="A74" t="s">
        <v>110</v>
      </c>
      <c r="B74" t="s">
        <v>28</v>
      </c>
      <c r="C74" t="s">
        <v>29</v>
      </c>
      <c r="D74" t="s">
        <v>42</v>
      </c>
      <c r="E74">
        <v>23.02</v>
      </c>
      <c r="F74">
        <v>3</v>
      </c>
      <c r="G74" s="2">
        <v>45813</v>
      </c>
      <c r="H74" s="2">
        <v>45915</v>
      </c>
      <c r="I74">
        <v>3.92</v>
      </c>
      <c r="J74">
        <v>201.9</v>
      </c>
      <c r="K74" t="s">
        <v>20</v>
      </c>
      <c r="L74" t="s">
        <v>26</v>
      </c>
      <c r="M74">
        <f t="shared" ca="1" si="8"/>
        <v>148</v>
      </c>
      <c r="N74" t="str">
        <f t="shared" ca="1" si="9"/>
        <v>61 to 180</v>
      </c>
      <c r="O74">
        <f t="shared" si="10"/>
        <v>292.13839999999999</v>
      </c>
      <c r="P74" t="str">
        <f t="shared" ca="1" si="11"/>
        <v>Slow Moving</v>
      </c>
    </row>
    <row r="75" spans="1:16" x14ac:dyDescent="0.3">
      <c r="A75" t="s">
        <v>111</v>
      </c>
      <c r="B75" t="s">
        <v>17</v>
      </c>
      <c r="C75" t="s">
        <v>18</v>
      </c>
      <c r="D75" t="s">
        <v>19</v>
      </c>
      <c r="E75">
        <v>13.34</v>
      </c>
      <c r="F75">
        <v>1</v>
      </c>
      <c r="G75" s="2">
        <v>45410</v>
      </c>
      <c r="H75" s="2">
        <v>45677</v>
      </c>
      <c r="I75">
        <v>144.59</v>
      </c>
      <c r="J75">
        <v>725.14</v>
      </c>
      <c r="K75" t="s">
        <v>20</v>
      </c>
      <c r="L75" t="s">
        <v>21</v>
      </c>
      <c r="M75">
        <f t="shared" ca="1" si="8"/>
        <v>551</v>
      </c>
      <c r="N75" t="str">
        <f t="shared" ca="1" si="9"/>
        <v>180 plus</v>
      </c>
      <c r="O75">
        <f t="shared" si="10"/>
        <v>2653.9706000000001</v>
      </c>
      <c r="P75" t="str">
        <f t="shared" ca="1" si="11"/>
        <v>Unsold</v>
      </c>
    </row>
    <row r="76" spans="1:16" x14ac:dyDescent="0.3">
      <c r="A76" t="s">
        <v>112</v>
      </c>
      <c r="B76" t="s">
        <v>17</v>
      </c>
      <c r="C76" t="s">
        <v>18</v>
      </c>
      <c r="D76" t="s">
        <v>19</v>
      </c>
      <c r="E76">
        <v>5.03</v>
      </c>
      <c r="F76">
        <v>1</v>
      </c>
      <c r="G76" s="2">
        <v>45403</v>
      </c>
      <c r="H76" s="2">
        <v>45847</v>
      </c>
      <c r="I76">
        <v>131.55000000000001</v>
      </c>
      <c r="J76">
        <v>391.72</v>
      </c>
      <c r="K76" t="s">
        <v>20</v>
      </c>
      <c r="L76" t="s">
        <v>34</v>
      </c>
      <c r="M76">
        <f t="shared" ca="1" si="8"/>
        <v>558</v>
      </c>
      <c r="N76" t="str">
        <f t="shared" ca="1" si="9"/>
        <v>180 plus</v>
      </c>
      <c r="O76">
        <f t="shared" si="10"/>
        <v>1053.4165000000003</v>
      </c>
      <c r="P76" t="str">
        <f t="shared" ca="1" si="11"/>
        <v>Unsold</v>
      </c>
    </row>
    <row r="77" spans="1:16" x14ac:dyDescent="0.3">
      <c r="A77" t="s">
        <v>113</v>
      </c>
      <c r="B77" t="s">
        <v>17</v>
      </c>
      <c r="C77" t="s">
        <v>18</v>
      </c>
      <c r="D77" t="s">
        <v>37</v>
      </c>
      <c r="E77">
        <v>7.42</v>
      </c>
      <c r="F77">
        <v>1</v>
      </c>
      <c r="G77" s="2">
        <v>45912</v>
      </c>
      <c r="H77" s="2">
        <v>45944</v>
      </c>
      <c r="I77">
        <v>158.79</v>
      </c>
      <c r="J77">
        <v>532.41</v>
      </c>
      <c r="K77" t="s">
        <v>20</v>
      </c>
      <c r="L77" t="s">
        <v>21</v>
      </c>
      <c r="M77">
        <f t="shared" ca="1" si="8"/>
        <v>49</v>
      </c>
      <c r="N77" t="str">
        <f t="shared" ca="1" si="9"/>
        <v>31 to 60</v>
      </c>
      <c r="O77">
        <f t="shared" si="10"/>
        <v>1710.6318000000001</v>
      </c>
      <c r="P77" t="str">
        <f t="shared" ca="1" si="11"/>
        <v>Active</v>
      </c>
    </row>
    <row r="78" spans="1:16" x14ac:dyDescent="0.3">
      <c r="A78" t="s">
        <v>114</v>
      </c>
      <c r="B78" t="s">
        <v>28</v>
      </c>
      <c r="C78" t="s">
        <v>29</v>
      </c>
      <c r="D78" t="s">
        <v>42</v>
      </c>
      <c r="E78">
        <v>45.68</v>
      </c>
      <c r="F78">
        <v>1</v>
      </c>
      <c r="G78" s="2">
        <v>45738</v>
      </c>
      <c r="H78" s="2">
        <v>45738</v>
      </c>
      <c r="I78">
        <v>3.65</v>
      </c>
      <c r="J78">
        <v>242.55</v>
      </c>
      <c r="K78" t="s">
        <v>20</v>
      </c>
      <c r="L78" t="s">
        <v>26</v>
      </c>
      <c r="M78">
        <f t="shared" ca="1" si="8"/>
        <v>223</v>
      </c>
      <c r="N78" t="str">
        <f t="shared" ca="1" si="9"/>
        <v>180 plus</v>
      </c>
      <c r="O78">
        <f t="shared" si="10"/>
        <v>409.28200000000004</v>
      </c>
      <c r="P78" t="str">
        <f t="shared" ca="1" si="11"/>
        <v>Unsold</v>
      </c>
    </row>
    <row r="79" spans="1:16" x14ac:dyDescent="0.3">
      <c r="A79" t="s">
        <v>115</v>
      </c>
      <c r="B79" t="s">
        <v>17</v>
      </c>
      <c r="C79" t="s">
        <v>18</v>
      </c>
      <c r="D79" t="s">
        <v>51</v>
      </c>
      <c r="E79">
        <v>60.21</v>
      </c>
      <c r="F79">
        <v>5</v>
      </c>
      <c r="G79" s="2">
        <v>45363</v>
      </c>
      <c r="H79" s="2">
        <v>45701</v>
      </c>
      <c r="I79">
        <v>140.96</v>
      </c>
      <c r="J79">
        <v>641.77</v>
      </c>
      <c r="K79" t="s">
        <v>20</v>
      </c>
      <c r="L79" t="s">
        <v>26</v>
      </c>
      <c r="M79">
        <f t="shared" ca="1" si="8"/>
        <v>598</v>
      </c>
      <c r="N79" t="str">
        <f t="shared" ca="1" si="9"/>
        <v>180 plus</v>
      </c>
      <c r="O79">
        <f t="shared" si="10"/>
        <v>9128.9716000000008</v>
      </c>
      <c r="P79" t="str">
        <f t="shared" ca="1" si="11"/>
        <v>Unsold</v>
      </c>
    </row>
    <row r="80" spans="1:16" x14ac:dyDescent="0.3">
      <c r="A80" t="s">
        <v>116</v>
      </c>
      <c r="B80" t="s">
        <v>28</v>
      </c>
      <c r="C80" t="s">
        <v>29</v>
      </c>
      <c r="D80" t="s">
        <v>42</v>
      </c>
      <c r="E80">
        <v>17.809999999999999</v>
      </c>
      <c r="F80">
        <v>10</v>
      </c>
      <c r="G80" s="2">
        <v>45608</v>
      </c>
      <c r="H80" s="2">
        <v>45949</v>
      </c>
      <c r="I80">
        <v>3.86</v>
      </c>
      <c r="J80">
        <v>98.62</v>
      </c>
      <c r="K80" t="s">
        <v>20</v>
      </c>
      <c r="L80" t="s">
        <v>34</v>
      </c>
      <c r="M80">
        <f t="shared" ca="1" si="8"/>
        <v>353</v>
      </c>
      <c r="N80" t="str">
        <f t="shared" ca="1" si="9"/>
        <v>180 plus</v>
      </c>
      <c r="O80">
        <f t="shared" si="10"/>
        <v>167.36660000000001</v>
      </c>
      <c r="P80" t="str">
        <f t="shared" ca="1" si="11"/>
        <v>Active</v>
      </c>
    </row>
    <row r="81" spans="1:16" x14ac:dyDescent="0.3">
      <c r="A81" t="s">
        <v>117</v>
      </c>
      <c r="B81" t="s">
        <v>28</v>
      </c>
      <c r="C81" t="s">
        <v>41</v>
      </c>
      <c r="D81" t="s">
        <v>42</v>
      </c>
      <c r="E81">
        <v>10.97</v>
      </c>
      <c r="F81">
        <v>10</v>
      </c>
      <c r="G81" s="2">
        <v>45422</v>
      </c>
      <c r="H81" s="2">
        <v>45618</v>
      </c>
      <c r="I81">
        <v>3.68</v>
      </c>
      <c r="J81">
        <v>69.59</v>
      </c>
      <c r="K81" t="s">
        <v>20</v>
      </c>
      <c r="L81" t="s">
        <v>34</v>
      </c>
      <c r="M81">
        <f t="shared" ca="1" si="8"/>
        <v>539</v>
      </c>
      <c r="N81" t="str">
        <f t="shared" ca="1" si="9"/>
        <v>180 plus</v>
      </c>
      <c r="O81">
        <f t="shared" si="10"/>
        <v>109.95960000000001</v>
      </c>
      <c r="P81" t="str">
        <f t="shared" ca="1" si="11"/>
        <v>Unsold</v>
      </c>
    </row>
    <row r="82" spans="1:16" x14ac:dyDescent="0.3">
      <c r="A82" t="s">
        <v>118</v>
      </c>
      <c r="B82" t="s">
        <v>17</v>
      </c>
      <c r="C82" t="s">
        <v>18</v>
      </c>
      <c r="D82" t="s">
        <v>47</v>
      </c>
      <c r="E82">
        <v>76.430000000000007</v>
      </c>
      <c r="F82">
        <v>1</v>
      </c>
      <c r="G82" s="2">
        <v>45922</v>
      </c>
      <c r="H82" s="2">
        <v>45958</v>
      </c>
      <c r="I82">
        <v>157.93</v>
      </c>
      <c r="J82">
        <v>1106.3499999999999</v>
      </c>
      <c r="K82" t="s">
        <v>20</v>
      </c>
      <c r="L82" t="s">
        <v>34</v>
      </c>
      <c r="M82">
        <f t="shared" ca="1" si="8"/>
        <v>39</v>
      </c>
      <c r="N82" t="str">
        <f t="shared" ca="1" si="9"/>
        <v>31 to 60</v>
      </c>
      <c r="O82">
        <f t="shared" si="10"/>
        <v>13176.939900000001</v>
      </c>
      <c r="P82" t="str">
        <f t="shared" ca="1" si="11"/>
        <v>Active</v>
      </c>
    </row>
    <row r="83" spans="1:16" x14ac:dyDescent="0.3">
      <c r="A83" t="s">
        <v>119</v>
      </c>
      <c r="B83" t="s">
        <v>28</v>
      </c>
      <c r="C83" t="s">
        <v>29</v>
      </c>
      <c r="D83" t="s">
        <v>42</v>
      </c>
      <c r="E83">
        <v>24.81</v>
      </c>
      <c r="F83">
        <v>3</v>
      </c>
      <c r="G83" s="2">
        <v>45507</v>
      </c>
      <c r="H83" s="2">
        <v>45727</v>
      </c>
      <c r="I83">
        <v>2.2400000000000002</v>
      </c>
      <c r="J83">
        <v>279.93</v>
      </c>
      <c r="K83" t="s">
        <v>20</v>
      </c>
      <c r="L83" t="s">
        <v>26</v>
      </c>
      <c r="M83">
        <f t="shared" ca="1" si="8"/>
        <v>454</v>
      </c>
      <c r="N83" t="str">
        <f t="shared" ca="1" si="9"/>
        <v>180 plus</v>
      </c>
      <c r="O83">
        <f t="shared" si="10"/>
        <v>335.50440000000003</v>
      </c>
      <c r="P83" t="str">
        <f t="shared" ca="1" si="11"/>
        <v>Unsold</v>
      </c>
    </row>
    <row r="84" spans="1:16" x14ac:dyDescent="0.3">
      <c r="A84" t="s">
        <v>120</v>
      </c>
      <c r="B84" t="s">
        <v>17</v>
      </c>
      <c r="C84" t="s">
        <v>18</v>
      </c>
      <c r="D84" t="s">
        <v>54</v>
      </c>
      <c r="E84">
        <v>20.7</v>
      </c>
      <c r="F84">
        <v>1</v>
      </c>
      <c r="G84" s="2">
        <v>45744</v>
      </c>
      <c r="H84" s="2">
        <v>45857</v>
      </c>
      <c r="I84">
        <v>158.5</v>
      </c>
      <c r="J84">
        <v>1159.98</v>
      </c>
      <c r="K84" t="s">
        <v>20</v>
      </c>
      <c r="L84" t="s">
        <v>26</v>
      </c>
      <c r="M84">
        <f t="shared" ca="1" si="8"/>
        <v>217</v>
      </c>
      <c r="N84" t="str">
        <f t="shared" ca="1" si="9"/>
        <v>180 plus</v>
      </c>
      <c r="O84">
        <f t="shared" si="10"/>
        <v>4440.93</v>
      </c>
      <c r="P84" t="str">
        <f t="shared" ca="1" si="11"/>
        <v>Unsold</v>
      </c>
    </row>
    <row r="85" spans="1:16" x14ac:dyDescent="0.3">
      <c r="A85" t="s">
        <v>121</v>
      </c>
      <c r="B85" t="s">
        <v>23</v>
      </c>
      <c r="C85" t="s">
        <v>24</v>
      </c>
      <c r="D85" t="s">
        <v>54</v>
      </c>
      <c r="E85">
        <v>40.15</v>
      </c>
      <c r="F85">
        <v>1</v>
      </c>
      <c r="G85" s="2">
        <v>45465</v>
      </c>
      <c r="H85" s="2">
        <v>45802</v>
      </c>
      <c r="I85">
        <v>246.78</v>
      </c>
      <c r="J85">
        <v>523.61</v>
      </c>
      <c r="K85" t="s">
        <v>20</v>
      </c>
      <c r="L85" t="s">
        <v>21</v>
      </c>
      <c r="M85">
        <f t="shared" ca="1" si="8"/>
        <v>496</v>
      </c>
      <c r="N85" t="str">
        <f t="shared" ca="1" si="9"/>
        <v>180 plus</v>
      </c>
      <c r="O85">
        <f t="shared" si="10"/>
        <v>10431.827000000001</v>
      </c>
      <c r="P85" t="str">
        <f t="shared" ca="1" si="11"/>
        <v>Unsold</v>
      </c>
    </row>
    <row r="86" spans="1:16" x14ac:dyDescent="0.3">
      <c r="A86" t="s">
        <v>122</v>
      </c>
      <c r="B86" t="s">
        <v>28</v>
      </c>
      <c r="C86" t="s">
        <v>41</v>
      </c>
      <c r="D86" t="s">
        <v>25</v>
      </c>
      <c r="E86">
        <v>105.11</v>
      </c>
      <c r="F86">
        <v>1</v>
      </c>
      <c r="G86" s="2">
        <v>45532</v>
      </c>
      <c r="H86" s="2">
        <v>45876</v>
      </c>
      <c r="I86">
        <v>2.93</v>
      </c>
      <c r="J86">
        <v>67.459999999999994</v>
      </c>
      <c r="K86" t="s">
        <v>20</v>
      </c>
      <c r="L86" t="s">
        <v>34</v>
      </c>
      <c r="M86">
        <f t="shared" ca="1" si="8"/>
        <v>429</v>
      </c>
      <c r="N86" t="str">
        <f t="shared" ca="1" si="9"/>
        <v>180 plus</v>
      </c>
      <c r="O86">
        <f t="shared" si="10"/>
        <v>375.4323</v>
      </c>
      <c r="P86" t="str">
        <f t="shared" ca="1" si="11"/>
        <v>Unsold</v>
      </c>
    </row>
    <row r="87" spans="1:16" x14ac:dyDescent="0.3">
      <c r="A87" t="s">
        <v>123</v>
      </c>
      <c r="B87" t="s">
        <v>23</v>
      </c>
      <c r="C87" t="s">
        <v>36</v>
      </c>
      <c r="D87" t="s">
        <v>47</v>
      </c>
      <c r="E87">
        <v>64.540000000000006</v>
      </c>
      <c r="F87">
        <v>1</v>
      </c>
      <c r="G87" s="2">
        <v>45317</v>
      </c>
      <c r="H87" s="2">
        <v>45364</v>
      </c>
      <c r="I87">
        <v>272.45</v>
      </c>
      <c r="J87">
        <v>865.63</v>
      </c>
      <c r="K87" t="s">
        <v>20</v>
      </c>
      <c r="L87" t="s">
        <v>21</v>
      </c>
      <c r="M87">
        <f t="shared" ca="1" si="8"/>
        <v>644</v>
      </c>
      <c r="N87" t="str">
        <f t="shared" ca="1" si="9"/>
        <v>180 plus</v>
      </c>
      <c r="O87">
        <f t="shared" si="10"/>
        <v>18449.553000000004</v>
      </c>
      <c r="P87" t="str">
        <f t="shared" ca="1" si="11"/>
        <v>Unsold</v>
      </c>
    </row>
    <row r="88" spans="1:16" x14ac:dyDescent="0.3">
      <c r="A88" t="s">
        <v>124</v>
      </c>
      <c r="B88" t="s">
        <v>28</v>
      </c>
      <c r="C88" t="s">
        <v>29</v>
      </c>
      <c r="D88" t="s">
        <v>54</v>
      </c>
      <c r="E88">
        <v>40.65</v>
      </c>
      <c r="F88">
        <v>1</v>
      </c>
      <c r="G88" s="2">
        <v>45716</v>
      </c>
      <c r="H88" s="2">
        <v>45942</v>
      </c>
      <c r="I88">
        <v>2.42</v>
      </c>
      <c r="J88">
        <v>192.2</v>
      </c>
      <c r="K88" t="s">
        <v>20</v>
      </c>
      <c r="L88" t="s">
        <v>26</v>
      </c>
      <c r="M88">
        <f t="shared" ca="1" si="8"/>
        <v>245</v>
      </c>
      <c r="N88" t="str">
        <f t="shared" ca="1" si="9"/>
        <v>180 plus</v>
      </c>
      <c r="O88">
        <f t="shared" si="10"/>
        <v>290.57299999999998</v>
      </c>
      <c r="P88" t="str">
        <f t="shared" ca="1" si="11"/>
        <v>Active</v>
      </c>
    </row>
    <row r="89" spans="1:16" x14ac:dyDescent="0.3">
      <c r="A89" t="s">
        <v>125</v>
      </c>
      <c r="B89" t="s">
        <v>17</v>
      </c>
      <c r="C89" t="s">
        <v>18</v>
      </c>
      <c r="D89" t="s">
        <v>37</v>
      </c>
      <c r="E89">
        <v>17.86</v>
      </c>
      <c r="F89">
        <v>1</v>
      </c>
      <c r="G89" s="2">
        <v>45798</v>
      </c>
      <c r="H89" s="2">
        <v>45900</v>
      </c>
      <c r="I89">
        <v>121.3</v>
      </c>
      <c r="J89">
        <v>670.16</v>
      </c>
      <c r="K89" t="s">
        <v>20</v>
      </c>
      <c r="L89" t="s">
        <v>21</v>
      </c>
      <c r="M89">
        <f t="shared" ca="1" si="8"/>
        <v>163</v>
      </c>
      <c r="N89" t="str">
        <f t="shared" ca="1" si="9"/>
        <v>61 to 180</v>
      </c>
      <c r="O89">
        <f t="shared" si="10"/>
        <v>2836.5779999999995</v>
      </c>
      <c r="P89" t="str">
        <f t="shared" ca="1" si="11"/>
        <v>Slow Moving</v>
      </c>
    </row>
    <row r="90" spans="1:16" x14ac:dyDescent="0.3">
      <c r="A90" t="s">
        <v>126</v>
      </c>
      <c r="B90" t="s">
        <v>23</v>
      </c>
      <c r="C90" t="s">
        <v>24</v>
      </c>
      <c r="D90" t="s">
        <v>19</v>
      </c>
      <c r="E90">
        <v>10.9</v>
      </c>
      <c r="F90">
        <v>1</v>
      </c>
      <c r="G90" s="2">
        <v>45401</v>
      </c>
      <c r="H90" s="2">
        <v>45836</v>
      </c>
      <c r="I90">
        <v>264.63</v>
      </c>
      <c r="J90">
        <v>866.72</v>
      </c>
      <c r="K90" t="s">
        <v>20</v>
      </c>
      <c r="L90" t="s">
        <v>21</v>
      </c>
      <c r="M90">
        <f t="shared" ca="1" si="8"/>
        <v>560</v>
      </c>
      <c r="N90" t="str">
        <f t="shared" ca="1" si="9"/>
        <v>180 plus</v>
      </c>
      <c r="O90">
        <f t="shared" si="10"/>
        <v>3751.1869999999999</v>
      </c>
      <c r="P90" t="str">
        <f t="shared" ca="1" si="11"/>
        <v>Unsold</v>
      </c>
    </row>
    <row r="91" spans="1:16" x14ac:dyDescent="0.3">
      <c r="A91" t="s">
        <v>127</v>
      </c>
      <c r="B91" t="s">
        <v>23</v>
      </c>
      <c r="C91" t="s">
        <v>24</v>
      </c>
      <c r="D91" t="s">
        <v>31</v>
      </c>
      <c r="E91">
        <v>5.51</v>
      </c>
      <c r="F91">
        <v>1</v>
      </c>
      <c r="G91" s="2">
        <v>45767</v>
      </c>
      <c r="H91" s="2">
        <v>45779</v>
      </c>
      <c r="I91">
        <v>249.38</v>
      </c>
      <c r="J91">
        <v>422.95</v>
      </c>
      <c r="K91" t="s">
        <v>20</v>
      </c>
      <c r="L91" t="s">
        <v>26</v>
      </c>
      <c r="M91">
        <f t="shared" ca="1" si="8"/>
        <v>194</v>
      </c>
      <c r="N91" t="str">
        <f t="shared" ca="1" si="9"/>
        <v>180 plus</v>
      </c>
      <c r="O91">
        <f t="shared" si="10"/>
        <v>1797.0337999999999</v>
      </c>
      <c r="P91" t="str">
        <f t="shared" ca="1" si="11"/>
        <v>Unsold</v>
      </c>
    </row>
    <row r="92" spans="1:16" x14ac:dyDescent="0.3">
      <c r="A92" t="s">
        <v>128</v>
      </c>
      <c r="B92" t="s">
        <v>23</v>
      </c>
      <c r="C92" t="s">
        <v>36</v>
      </c>
      <c r="D92" t="s">
        <v>54</v>
      </c>
      <c r="E92">
        <v>38.71</v>
      </c>
      <c r="F92">
        <v>1</v>
      </c>
      <c r="G92" s="2">
        <v>45428</v>
      </c>
      <c r="H92" s="2">
        <v>45903</v>
      </c>
      <c r="I92">
        <v>267.39999999999998</v>
      </c>
      <c r="J92">
        <v>1053.78</v>
      </c>
      <c r="K92" t="s">
        <v>20</v>
      </c>
      <c r="L92" t="s">
        <v>26</v>
      </c>
      <c r="M92">
        <f t="shared" ca="1" si="8"/>
        <v>533</v>
      </c>
      <c r="N92" t="str">
        <f t="shared" ca="1" si="9"/>
        <v>180 plus</v>
      </c>
      <c r="O92">
        <f t="shared" si="10"/>
        <v>11404.834000000001</v>
      </c>
      <c r="P92" t="str">
        <f t="shared" ca="1" si="11"/>
        <v>Unsold</v>
      </c>
    </row>
    <row r="93" spans="1:16" x14ac:dyDescent="0.3">
      <c r="A93" t="s">
        <v>129</v>
      </c>
      <c r="B93" t="s">
        <v>17</v>
      </c>
      <c r="C93" t="s">
        <v>18</v>
      </c>
      <c r="D93" t="s">
        <v>54</v>
      </c>
      <c r="E93">
        <v>32.83</v>
      </c>
      <c r="F93">
        <v>1</v>
      </c>
      <c r="G93" s="2">
        <v>45919</v>
      </c>
      <c r="H93" s="2">
        <v>45951</v>
      </c>
      <c r="I93">
        <v>138.01</v>
      </c>
      <c r="J93">
        <v>651.66999999999996</v>
      </c>
      <c r="K93" t="s">
        <v>20</v>
      </c>
      <c r="L93" t="s">
        <v>34</v>
      </c>
      <c r="M93">
        <f t="shared" ca="1" si="8"/>
        <v>42</v>
      </c>
      <c r="N93" t="str">
        <f t="shared" ca="1" si="9"/>
        <v>31 to 60</v>
      </c>
      <c r="O93">
        <f t="shared" si="10"/>
        <v>5182.5382999999993</v>
      </c>
      <c r="P93" t="str">
        <f t="shared" ca="1" si="11"/>
        <v>Active</v>
      </c>
    </row>
    <row r="94" spans="1:16" x14ac:dyDescent="0.3">
      <c r="A94" t="s">
        <v>130</v>
      </c>
      <c r="B94" t="s">
        <v>17</v>
      </c>
      <c r="C94" t="s">
        <v>18</v>
      </c>
      <c r="D94" t="s">
        <v>47</v>
      </c>
      <c r="E94">
        <v>67.900000000000006</v>
      </c>
      <c r="F94">
        <v>1</v>
      </c>
      <c r="G94" s="2">
        <v>45778</v>
      </c>
      <c r="H94" s="2">
        <v>45893</v>
      </c>
      <c r="I94">
        <v>144.25</v>
      </c>
      <c r="J94">
        <v>872.16</v>
      </c>
      <c r="K94" t="s">
        <v>20</v>
      </c>
      <c r="L94" t="s">
        <v>34</v>
      </c>
      <c r="M94">
        <f t="shared" ca="1" si="8"/>
        <v>183</v>
      </c>
      <c r="N94" t="str">
        <f t="shared" ca="1" si="9"/>
        <v>180 plus</v>
      </c>
      <c r="O94">
        <f t="shared" si="10"/>
        <v>10666.735000000001</v>
      </c>
      <c r="P94" t="str">
        <f t="shared" ca="1" si="11"/>
        <v>Unsold</v>
      </c>
    </row>
    <row r="95" spans="1:16" x14ac:dyDescent="0.3">
      <c r="A95" t="s">
        <v>131</v>
      </c>
      <c r="B95" t="s">
        <v>23</v>
      </c>
      <c r="C95" t="s">
        <v>24</v>
      </c>
      <c r="D95" t="s">
        <v>42</v>
      </c>
      <c r="E95">
        <v>16.940000000000001</v>
      </c>
      <c r="F95">
        <v>10</v>
      </c>
      <c r="G95" s="2">
        <v>45788</v>
      </c>
      <c r="H95" s="2">
        <v>45948</v>
      </c>
      <c r="I95">
        <v>270.60000000000002</v>
      </c>
      <c r="J95">
        <v>471.79</v>
      </c>
      <c r="K95" t="s">
        <v>20</v>
      </c>
      <c r="L95" t="s">
        <v>21</v>
      </c>
      <c r="M95">
        <f t="shared" ca="1" si="8"/>
        <v>173</v>
      </c>
      <c r="N95" t="str">
        <f t="shared" ca="1" si="9"/>
        <v>61 to 180</v>
      </c>
      <c r="O95">
        <f t="shared" si="10"/>
        <v>5055.7540000000008</v>
      </c>
      <c r="P95" t="str">
        <f t="shared" ca="1" si="11"/>
        <v>Active</v>
      </c>
    </row>
    <row r="96" spans="1:16" x14ac:dyDescent="0.3">
      <c r="A96" t="s">
        <v>132</v>
      </c>
      <c r="B96" t="s">
        <v>28</v>
      </c>
      <c r="C96" t="s">
        <v>41</v>
      </c>
      <c r="D96" t="s">
        <v>25</v>
      </c>
      <c r="E96">
        <v>57.56</v>
      </c>
      <c r="F96">
        <v>1</v>
      </c>
      <c r="G96" s="2">
        <v>45584</v>
      </c>
      <c r="H96" s="2">
        <v>45704</v>
      </c>
      <c r="I96">
        <v>2.42</v>
      </c>
      <c r="J96">
        <v>181.92</v>
      </c>
      <c r="K96" t="s">
        <v>20</v>
      </c>
      <c r="L96" t="s">
        <v>34</v>
      </c>
      <c r="M96">
        <f t="shared" ca="1" si="8"/>
        <v>377</v>
      </c>
      <c r="N96" t="str">
        <f t="shared" ca="1" si="9"/>
        <v>180 plus</v>
      </c>
      <c r="O96">
        <f t="shared" si="10"/>
        <v>321.21519999999998</v>
      </c>
      <c r="P96" t="str">
        <f t="shared" ca="1" si="11"/>
        <v>Unsold</v>
      </c>
    </row>
    <row r="97" spans="1:16" x14ac:dyDescent="0.3">
      <c r="A97" t="s">
        <v>133</v>
      </c>
      <c r="B97" t="s">
        <v>28</v>
      </c>
      <c r="C97" t="s">
        <v>41</v>
      </c>
      <c r="D97" t="s">
        <v>31</v>
      </c>
      <c r="E97">
        <v>3.25</v>
      </c>
      <c r="F97">
        <v>1</v>
      </c>
      <c r="G97" s="2">
        <v>45374</v>
      </c>
      <c r="H97" s="2">
        <v>45515</v>
      </c>
      <c r="I97">
        <v>3.27</v>
      </c>
      <c r="J97">
        <v>171.94</v>
      </c>
      <c r="K97" t="s">
        <v>20</v>
      </c>
      <c r="L97" t="s">
        <v>21</v>
      </c>
      <c r="M97">
        <f t="shared" ca="1" si="8"/>
        <v>587</v>
      </c>
      <c r="N97" t="str">
        <f t="shared" ca="1" si="9"/>
        <v>180 plus</v>
      </c>
      <c r="O97">
        <f t="shared" si="10"/>
        <v>182.5675</v>
      </c>
      <c r="P97" t="str">
        <f t="shared" ca="1" si="11"/>
        <v>Unsold</v>
      </c>
    </row>
    <row r="98" spans="1:16" x14ac:dyDescent="0.3">
      <c r="A98" t="s">
        <v>134</v>
      </c>
      <c r="B98" t="s">
        <v>23</v>
      </c>
      <c r="C98" t="s">
        <v>39</v>
      </c>
      <c r="D98" t="s">
        <v>47</v>
      </c>
      <c r="E98">
        <v>42.92</v>
      </c>
      <c r="F98">
        <v>1</v>
      </c>
      <c r="G98" s="2">
        <v>45511</v>
      </c>
      <c r="H98" s="2">
        <v>45543</v>
      </c>
      <c r="I98">
        <v>258.63</v>
      </c>
      <c r="J98">
        <v>133.55000000000001</v>
      </c>
      <c r="K98" t="s">
        <v>20</v>
      </c>
      <c r="L98" t="s">
        <v>34</v>
      </c>
      <c r="M98">
        <f t="shared" ca="1" si="8"/>
        <v>450</v>
      </c>
      <c r="N98" t="str">
        <f t="shared" ref="N98:N129" ca="1" si="12">IF(M98&lt;=30,"0 to 30",IF(M98&lt;=60,"31 to 60",IF(M98&lt;=180,"61 to 180","180 plus")))</f>
        <v>180 plus</v>
      </c>
      <c r="O98">
        <f t="shared" si="10"/>
        <v>11233.9496</v>
      </c>
      <c r="P98" t="str">
        <f t="shared" ca="1" si="11"/>
        <v>Unsold</v>
      </c>
    </row>
    <row r="99" spans="1:16" x14ac:dyDescent="0.3">
      <c r="A99" t="s">
        <v>135</v>
      </c>
      <c r="B99" t="s">
        <v>28</v>
      </c>
      <c r="C99" t="s">
        <v>41</v>
      </c>
      <c r="D99" t="s">
        <v>31</v>
      </c>
      <c r="E99">
        <v>3.26</v>
      </c>
      <c r="F99">
        <v>1</v>
      </c>
      <c r="G99" s="2">
        <v>45769</v>
      </c>
      <c r="H99" s="2">
        <v>45875</v>
      </c>
      <c r="I99">
        <v>4.09</v>
      </c>
      <c r="J99">
        <v>120.85</v>
      </c>
      <c r="K99" t="s">
        <v>20</v>
      </c>
      <c r="L99" t="s">
        <v>21</v>
      </c>
      <c r="M99">
        <f t="shared" ca="1" si="8"/>
        <v>192</v>
      </c>
      <c r="N99" t="str">
        <f t="shared" ca="1" si="12"/>
        <v>180 plus</v>
      </c>
      <c r="O99">
        <f t="shared" si="10"/>
        <v>134.18340000000001</v>
      </c>
      <c r="P99" t="str">
        <f t="shared" ca="1" si="11"/>
        <v>Unsold</v>
      </c>
    </row>
    <row r="100" spans="1:16" x14ac:dyDescent="0.3">
      <c r="A100" t="s">
        <v>136</v>
      </c>
      <c r="B100" t="s">
        <v>23</v>
      </c>
      <c r="C100" t="s">
        <v>39</v>
      </c>
      <c r="D100" t="s">
        <v>37</v>
      </c>
      <c r="E100">
        <v>5.4</v>
      </c>
      <c r="F100">
        <v>1</v>
      </c>
      <c r="G100" s="2">
        <v>45890</v>
      </c>
      <c r="H100" s="2">
        <v>45892</v>
      </c>
      <c r="I100">
        <v>255.89</v>
      </c>
      <c r="J100">
        <v>946.99</v>
      </c>
      <c r="K100" t="s">
        <v>20</v>
      </c>
      <c r="L100" t="s">
        <v>26</v>
      </c>
      <c r="M100">
        <f t="shared" ca="1" si="8"/>
        <v>71</v>
      </c>
      <c r="N100" t="str">
        <f t="shared" ca="1" si="12"/>
        <v>61 to 180</v>
      </c>
      <c r="O100">
        <f t="shared" si="10"/>
        <v>2328.7960000000003</v>
      </c>
      <c r="P100" t="str">
        <f t="shared" ca="1" si="11"/>
        <v>Slow Moving</v>
      </c>
    </row>
    <row r="101" spans="1:16" x14ac:dyDescent="0.3">
      <c r="A101" t="s">
        <v>137</v>
      </c>
      <c r="B101" t="s">
        <v>28</v>
      </c>
      <c r="C101" t="s">
        <v>41</v>
      </c>
      <c r="D101" t="s">
        <v>19</v>
      </c>
      <c r="E101">
        <v>4.9400000000000004</v>
      </c>
      <c r="F101">
        <v>1</v>
      </c>
      <c r="G101" s="2">
        <v>45652</v>
      </c>
      <c r="H101" s="2">
        <v>45804</v>
      </c>
      <c r="I101">
        <v>3.63</v>
      </c>
      <c r="J101">
        <v>43.9</v>
      </c>
      <c r="K101" t="s">
        <v>20</v>
      </c>
      <c r="L101" t="s">
        <v>34</v>
      </c>
      <c r="M101">
        <f t="shared" ca="1" si="8"/>
        <v>309</v>
      </c>
      <c r="N101" t="str">
        <f t="shared" ca="1" si="12"/>
        <v>180 plus</v>
      </c>
      <c r="O101">
        <f t="shared" si="10"/>
        <v>61.8322</v>
      </c>
      <c r="P101" t="str">
        <f t="shared" ca="1" si="11"/>
        <v>Unsold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Jiji Annie</cp:lastModifiedBy>
  <dcterms:created xsi:type="dcterms:W3CDTF">2025-10-31T19:00:43Z</dcterms:created>
  <dcterms:modified xsi:type="dcterms:W3CDTF">2025-10-31T20:28:48Z</dcterms:modified>
</cp:coreProperties>
</file>